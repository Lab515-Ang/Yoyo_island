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總覽" sheetId="1" state="visible" r:id="rId1"/>
    <sheet name="共通規格" sheetId="2" state="visible" r:id="rId2"/>
    <sheet name="動物尺寸" sheetId="3" state="visible" r:id="rId3"/>
    <sheet name="A 動物主圖" sheetId="4" state="visible" r:id="rId4"/>
    <sheet name="B 動物動態" sheetId="5" state="visible" r:id="rId5"/>
    <sheet name="B-1 體型模板" sheetId="6" state="visible" r:id="rId6"/>
    <sheet name="C 望遠鏡全景" sheetId="7" state="visible" r:id="rId7"/>
    <sheet name="C-1 全景規格" sheetId="8" state="visible" r:id="rId8"/>
    <sheet name="D 小島場景" sheetId="9" state="visible" r:id="rId9"/>
    <sheet name="D-1 場景規格" sheetId="10" state="visible" r:id="rId10"/>
    <sheet name="E 小道具" sheetId="11" state="visible" r:id="rId11"/>
    <sheet name="F 介面圖示" sheetId="12" state="visible" r:id="rId12"/>
    <sheet name="G 插圖與上架" sheetId="13" state="visible" r:id="rId13"/>
    <sheet name="H 地圖" sheetId="14" state="visible" r:id="rId14"/>
    <sheet name="現有素材" sheetId="15" state="visible" r:id="rId15"/>
    <sheet name="交件檢查" sheetId="16" state="visible" r:id="rId16"/>
  </sheets>
  <definedNames>
    <definedName name="_xlnm._FilterDatabase" localSheetId="1" hidden="1">'共通規格'!$A$4:$C$21</definedName>
    <definedName name="_xlnm._FilterDatabase" localSheetId="2" hidden="1">'動物尺寸'!$A$4:$E$11</definedName>
    <definedName name="_xlnm._FilterDatabase" localSheetId="3" hidden="1">'A 動物主圖'!$A$4:$R$46</definedName>
    <definedName name="_xlnm._FilterDatabase" localSheetId="4" hidden="1">'B 動物動態'!$A$4:$M$46</definedName>
    <definedName name="_xlnm._FilterDatabase" localSheetId="5" hidden="1">'B-1 體型模板'!$A$4:$H$24</definedName>
    <definedName name="_xlnm._FilterDatabase" localSheetId="6" hidden="1">'C 望遠鏡全景'!$A$4:$J$20</definedName>
    <definedName name="_xlnm._FilterDatabase" localSheetId="7" hidden="1">'C-1 全景規格'!$A$4:$C$13</definedName>
    <definedName name="_xlnm._FilterDatabase" localSheetId="8" hidden="1">'D 小島場景'!$A$4:$J$20</definedName>
    <definedName name="_xlnm._FilterDatabase" localSheetId="9" hidden="1">'D-1 場景規格'!$A$4:$C$11</definedName>
    <definedName name="_xlnm._FilterDatabase" localSheetId="10" hidden="1">'E 小道具'!$A$4:$G$10</definedName>
    <definedName name="_xlnm._FilterDatabase" localSheetId="11" hidden="1">'F 介面圖示'!$A$4:$H$18</definedName>
    <definedName name="_xlnm._FilterDatabase" localSheetId="12" hidden="1">'G 插圖與上架'!$A$4:$F$18</definedName>
    <definedName name="_xlnm._FilterDatabase" localSheetId="13" hidden="1">'H 地圖'!$A$4:$F$8</definedName>
    <definedName name="_xlnm._FilterDatabase" localSheetId="14" hidden="1">'現有素材'!$A$4:$E$19</definedName>
    <definedName name="_xlnm._FilterDatabase" localSheetId="15" hidden="1">'交件檢查'!$A$4:$C$17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Microsoft JhengHei"/>
      <b val="1"/>
      <color rgb="004A6A42"/>
      <sz val="15"/>
    </font>
    <font>
      <name val="Microsoft JhengHei"/>
      <color rgb="00766B5E"/>
      <sz val="10"/>
    </font>
    <font>
      <name val="Microsoft JhengHei"/>
      <b val="1"/>
      <color rgb="00FFFFFF"/>
      <sz val="10"/>
    </font>
    <font>
      <name val="Microsoft JhengHei"/>
      <sz val="10"/>
    </font>
    <font>
      <name val="Microsoft JhengHei"/>
      <b val="1"/>
      <color rgb="004A6A42"/>
      <sz val="12"/>
    </font>
    <font>
      <name val="Microsoft JhengHei"/>
      <b val="1"/>
      <color rgb="004A6A42"/>
      <sz val="11"/>
    </font>
    <font>
      <name val="Microsoft JhengHei"/>
      <b val="1"/>
      <color rgb="004A6A42"/>
      <sz val="18"/>
    </font>
    <font>
      <name val="Microsoft JhengHei"/>
      <color rgb="00000000"/>
      <sz val="10"/>
    </font>
    <font>
      <name val="Microsoft JhengHei"/>
      <color rgb="00008000"/>
      <sz val="10"/>
    </font>
    <font>
      <name val="Microsoft JhengHei"/>
      <b val="1"/>
      <sz val="10"/>
    </font>
    <font>
      <name val="Microsoft JhengHei"/>
      <b val="1"/>
      <color rgb="004A6A42"/>
      <sz val="10"/>
    </font>
    <font>
      <name val="Microsoft JhengHei"/>
      <color rgb="00766B5E"/>
      <sz val="9"/>
    </font>
  </fonts>
  <fills count="12">
    <fill>
      <patternFill/>
    </fill>
    <fill>
      <patternFill patternType="gray125"/>
    </fill>
    <fill>
      <patternFill patternType="solid">
        <fgColor rgb="004A6A42"/>
      </patternFill>
    </fill>
    <fill>
      <patternFill patternType="solid">
        <fgColor rgb="00FBF6EC"/>
      </patternFill>
    </fill>
    <fill>
      <patternFill patternType="solid">
        <fgColor rgb="00E8EEDB"/>
      </patternFill>
    </fill>
    <fill>
      <patternFill patternType="solid">
        <fgColor rgb="00FFF4C2"/>
      </patternFill>
    </fill>
    <fill>
      <patternFill patternType="solid">
        <fgColor rgb="00FFFFFF"/>
      </patternFill>
    </fill>
    <fill>
      <patternFill patternType="solid">
        <fgColor rgb="00FDE7B0"/>
      </patternFill>
    </fill>
    <fill>
      <patternFill patternType="solid">
        <fgColor rgb="00E6E1D4"/>
      </patternFill>
    </fill>
    <fill>
      <patternFill patternType="solid">
        <fgColor rgb="00EEF0F4"/>
      </patternFill>
    </fill>
    <fill>
      <patternFill patternType="solid">
        <fgColor rgb="00D6EBCB"/>
      </patternFill>
    </fill>
    <fill>
      <patternFill patternType="solid">
        <fgColor rgb="00FBD9C8"/>
      </patternFill>
    </fill>
  </fills>
  <borders count="2">
    <border>
      <left/>
      <right/>
      <top/>
      <bottom/>
      <diagonal/>
    </border>
    <border>
      <left style="thin">
        <color rgb="00D8D0BC"/>
      </left>
      <right style="thin">
        <color rgb="00D8D0BC"/>
      </right>
      <top style="thin">
        <color rgb="00D8D0BC"/>
      </top>
      <bottom style="thin">
        <color rgb="00D8D0BC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7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center" vertical="top" wrapText="1"/>
    </xf>
    <xf numFmtId="9" fontId="8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center" vertical="top" wrapText="1"/>
    </xf>
    <xf numFmtId="0" fontId="10" fillId="4" borderId="1" pivotButton="0" quotePrefix="0" xfId="0"/>
    <xf numFmtId="0" fontId="0" fillId="4" borderId="1" pivotButton="0" quotePrefix="0" xfId="0"/>
    <xf numFmtId="0" fontId="10" fillId="4" borderId="1" applyAlignment="1" pivotButton="0" quotePrefix="0" xfId="0">
      <alignment horizontal="center"/>
    </xf>
    <xf numFmtId="9" fontId="0" fillId="4" borderId="1" pivotButton="0" quotePrefix="0" xfId="0"/>
    <xf numFmtId="0" fontId="11" fillId="0" borderId="0" pivotButton="0" quotePrefix="0" xfId="0"/>
    <xf numFmtId="0" fontId="4" fillId="10" borderId="1" pivotButton="0" quotePrefix="0" xfId="0"/>
    <xf numFmtId="0" fontId="4" fillId="0" borderId="0" pivotButton="0" quotePrefix="0" xfId="0"/>
    <xf numFmtId="0" fontId="4" fillId="7" borderId="1" pivotButton="0" quotePrefix="0" xfId="0"/>
    <xf numFmtId="0" fontId="4" fillId="11" borderId="1" pivotButton="0" quotePrefix="0" xfId="0"/>
    <xf numFmtId="0" fontId="4" fillId="8" borderId="1" pivotButton="0" quotePrefix="0" xfId="0"/>
    <xf numFmtId="0" fontId="4" fillId="9" borderId="1" pivotButton="0" quotePrefix="0" xfId="0"/>
    <xf numFmtId="0" fontId="4" fillId="6" borderId="1" pivotButton="0" quotePrefix="0" xfId="0"/>
    <xf numFmtId="0" fontId="12" fillId="0" borderId="0" pivotButton="0" quotePrefix="0" xfId="0"/>
    <xf numFmtId="0" fontId="1" fillId="0" borderId="0" pivotButton="0" quotePrefix="0" xfId="0"/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5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6" fillId="4" borderId="0" applyAlignment="1" pivotButton="0" quotePrefix="0" xfId="0">
      <alignment vertical="center"/>
    </xf>
    <xf numFmtId="0" fontId="4" fillId="3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 wrapText="1"/>
    </xf>
    <xf numFmtId="0" fontId="4" fillId="9" borderId="1" applyAlignment="1" pivotButton="0" quotePrefix="0" xfId="0">
      <alignment horizontal="left" vertical="top" wrapText="1"/>
    </xf>
    <xf numFmtId="0" fontId="4" fillId="1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comments/comment1.xml><?xml version="1.0" encoding="utf-8"?>
<comments xmlns="http://schemas.openxmlformats.org/spreadsheetml/2006/main">
  <authors>
    <author>棲光小島</author>
  </authors>
  <commentList>
    <comment ref="D4" authorId="0" shapeId="0">
      <text>
        <t>A：所有成長階段的張數加總；B：部件套數加總（每個成長階段一套）。其他類別等於項目數。</t>
      </text>
    </comment>
  </commentList>
</comments>
</file>

<file path=xl/comments/comment2.xml><?xml version="1.0" encoding="utf-8"?>
<comments xmlns="http://schemas.openxmlformats.org/spreadsheetml/2006/main">
  <authors>
    <author>棲光小島</author>
  </authors>
  <commentList>
    <comment ref="F4" authorId="0" shapeId="0">
      <text>
        <t>有三個成長階段的動物 3 張；商店、Plus 會員的動物只有一種樣式 1 張。</t>
      </text>
    </comment>
    <comment ref="N4" authorId="0" shapeId="0">
      <text>
        <t>1＝新玩家前兩週一定遇到；2＝台灣主線；3＝日本區；4＝商店；5＝Plus 會員；6＝新增物種（需要新的棲地與出現方式）。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44" customWidth="1" min="2" max="2"/>
    <col width="10" customWidth="1" min="3" max="3"/>
    <col width="12" customWidth="1" min="4" max="4"/>
    <col width="10" customWidth="1" min="5" max="5"/>
    <col width="10" customWidth="1" min="6" max="6"/>
    <col width="12" customWidth="1" min="7" max="7"/>
    <col width="18" customWidth="1" min="8" max="8"/>
  </cols>
  <sheetData>
    <row r="1">
      <c r="A1" s="1" t="inlineStr">
        <is>
          <t>棲光小島｜美術清單</t>
        </is>
      </c>
    </row>
    <row r="2" ht="32" customHeight="1">
      <c r="A2" s="2" t="inlineStr">
        <is>
          <t>更新：2026-10-28。P0＝上架前一定要有；P1＝上架前最好有；P2＝上架後再補。黃色欄位（各分頁的「狀態」「備註」）由製作者更新，數量與完成數會自動計算。</t>
        </is>
      </c>
    </row>
    <row r="4">
      <c r="A4" s="3" t="inlineStr">
        <is>
          <t>類別</t>
        </is>
      </c>
      <c r="B4" s="3" t="inlineStr">
        <is>
          <t>內容</t>
        </is>
      </c>
      <c r="C4" s="3" t="inlineStr">
        <is>
          <t>項目數</t>
        </is>
      </c>
      <c r="D4" s="3" t="inlineStr">
        <is>
          <t>張數／套數</t>
        </is>
      </c>
      <c r="E4" s="3" t="inlineStr">
        <is>
          <t>已完成</t>
        </is>
      </c>
      <c r="F4" s="3" t="inlineStr">
        <is>
          <t>完成率</t>
        </is>
      </c>
      <c r="G4" s="3" t="inlineStr">
        <is>
          <t>最高優先度</t>
        </is>
      </c>
      <c r="H4" s="3" t="inlineStr">
        <is>
          <t>分頁</t>
        </is>
      </c>
    </row>
    <row r="5">
      <c r="A5" s="4" t="inlineStr">
        <is>
          <t>A. 動物主圖</t>
        </is>
      </c>
      <c r="B5" s="4" t="inlineStr">
        <is>
          <t>40 種動物（台灣 21、日本 19），每個成長階段 1 張（正側面）</t>
        </is>
      </c>
      <c r="C5" s="5">
        <f>COUNTA('A 動物主圖'!$B$5:$B$46)</f>
        <v/>
      </c>
      <c r="D5" s="5">
        <f>SUM('A 動物主圖'!$F$5:$F$46)</f>
        <v/>
      </c>
      <c r="E5" s="5">
        <f>COUNTIF('A 動物主圖'!$Q$5:$Q$46,"已完成")</f>
        <v/>
      </c>
      <c r="F5" s="6">
        <f>IF(C5=0,0,E5/C5)</f>
        <v/>
      </c>
      <c r="G5" s="7" t="inlineStr">
        <is>
          <t>P0</t>
        </is>
      </c>
      <c r="H5" s="7" t="inlineStr">
        <is>
          <t>A 動物主圖</t>
        </is>
      </c>
    </row>
    <row r="6">
      <c r="A6" s="4" t="inlineStr">
        <is>
          <t>B. 動物動態</t>
        </is>
      </c>
      <c r="B6" s="4" t="inlineStr">
        <is>
          <t>分層部件＋網格骨架；同體型共用動作</t>
        </is>
      </c>
      <c r="C6" s="5">
        <f>COUNTA('B 動物動態'!$B$5:$B$46)</f>
        <v/>
      </c>
      <c r="D6" s="5">
        <f>SUM('B 動物動態'!$E$5:$E$46)</f>
        <v/>
      </c>
      <c r="E6" s="5">
        <f>COUNTIF('B 動物動態'!$L$5:$L$46,"已完成")</f>
        <v/>
      </c>
      <c r="F6" s="6">
        <f>IF(C6=0,0,E6/C6)</f>
        <v/>
      </c>
      <c r="G6" s="7" t="inlineStr">
        <is>
          <t>P0</t>
        </is>
      </c>
      <c r="H6" s="7" t="inlineStr">
        <is>
          <t>B 動物動態</t>
        </is>
      </c>
    </row>
    <row r="7">
      <c r="A7" s="4" t="inlineStr">
        <is>
          <t>C. 望遠鏡全景</t>
        </is>
      </c>
      <c r="B7" s="4" t="inlineStr">
        <is>
          <t>棲地 × 時段（含選配）</t>
        </is>
      </c>
      <c r="C7" s="5">
        <f>COUNTA('C 望遠鏡全景'!$B$5:$B$20)</f>
        <v/>
      </c>
      <c r="D7" s="5">
        <f>COUNTA('C 望遠鏡全景'!$B$5:$B$20)</f>
        <v/>
      </c>
      <c r="E7" s="5">
        <f>COUNTIF('C 望遠鏡全景'!$I$5:$I$20,"已完成")</f>
        <v/>
      </c>
      <c r="F7" s="6">
        <f>IF(C7=0,0,E7/C7)</f>
        <v/>
      </c>
      <c r="G7" s="7" t="inlineStr">
        <is>
          <t>P0</t>
        </is>
      </c>
      <c r="H7" s="7" t="inlineStr">
        <is>
          <t>C 望遠鏡全景</t>
        </is>
      </c>
    </row>
    <row r="8">
      <c r="A8" s="4" t="inlineStr">
        <is>
          <t>D. 小島場景</t>
        </is>
      </c>
      <c r="B8" s="4" t="inlineStr">
        <is>
          <t>底圖＋修復工程疊圖（台灣 8、日本 6）</t>
        </is>
      </c>
      <c r="C8" s="5">
        <f>COUNTA('D 小島場景'!$D$5:$D$20)</f>
        <v/>
      </c>
      <c r="D8" s="5">
        <f>COUNTA('D 小島場景'!$D$5:$D$20)</f>
        <v/>
      </c>
      <c r="E8" s="5">
        <f>COUNTIF('D 小島場景'!$I$5:$I$20,"已完成")</f>
        <v/>
      </c>
      <c r="F8" s="6">
        <f>IF(C8=0,0,E8/C8)</f>
        <v/>
      </c>
      <c r="G8" s="7" t="inlineStr">
        <is>
          <t>P0</t>
        </is>
      </c>
      <c r="H8" s="7" t="inlineStr">
        <is>
          <t>D 小島場景</t>
        </is>
      </c>
    </row>
    <row r="9">
      <c r="A9" s="4" t="inlineStr">
        <is>
          <t>E. 小道具</t>
        </is>
      </c>
      <c r="B9" s="4" t="inlineStr">
        <is>
          <t>倒木、腳印、羽毛等</t>
        </is>
      </c>
      <c r="C9" s="5">
        <f>COUNTA('E 小道具'!$A$5:$A$10)</f>
        <v/>
      </c>
      <c r="D9" s="5">
        <f>COUNTA('E 小道具'!$A$5:$A$10)</f>
        <v/>
      </c>
      <c r="E9" s="5">
        <f>COUNTIF('E 小道具'!$F$5:$F$10,"已完成")</f>
        <v/>
      </c>
      <c r="F9" s="6">
        <f>IF(C9=0,0,E9/C9)</f>
        <v/>
      </c>
      <c r="G9" s="7" t="inlineStr">
        <is>
          <t>P1</t>
        </is>
      </c>
      <c r="H9" s="7" t="inlineStr">
        <is>
          <t>E 小道具</t>
        </is>
      </c>
    </row>
    <row r="10">
      <c r="A10" s="4" t="inlineStr">
        <is>
          <t>F. 介面圖示</t>
        </is>
      </c>
      <c r="B10" s="4" t="inlineStr">
        <is>
          <t>貨幣、寶箱、環境音、頭像、選單</t>
        </is>
      </c>
      <c r="C10" s="5">
        <f>COUNTA('F 介面圖示'!$B$5:$B$18)</f>
        <v/>
      </c>
      <c r="D10" s="5">
        <f>COUNTA('F 介面圖示'!$B$5:$B$18)</f>
        <v/>
      </c>
      <c r="E10" s="5">
        <f>COUNTIF('F 介面圖示'!$G$5:$G$18,"已完成")</f>
        <v/>
      </c>
      <c r="F10" s="6">
        <f>IF(C10=0,0,E10/C10)</f>
        <v/>
      </c>
      <c r="G10" s="7" t="inlineStr">
        <is>
          <t>P0</t>
        </is>
      </c>
      <c r="H10" s="7" t="inlineStr">
        <is>
          <t>F 介面圖示</t>
        </is>
      </c>
    </row>
    <row r="11">
      <c r="A11" s="4" t="inlineStr">
        <is>
          <t>G. 插圖與上架</t>
        </is>
      </c>
      <c r="B11" s="4" t="inlineStr">
        <is>
          <t>App 圖示、Google Play、引導與攔截插圖</t>
        </is>
      </c>
      <c r="C11" s="5">
        <f>COUNTA('G 插圖與上架'!$B$5:$B$18)</f>
        <v/>
      </c>
      <c r="D11" s="5">
        <f>COUNTA('G 插圖與上架'!$B$5:$B$18)</f>
        <v/>
      </c>
      <c r="E11" s="5">
        <f>COUNTIF('G 插圖與上架'!$E$5:$E$18,"已完成")</f>
        <v/>
      </c>
      <c r="F11" s="6">
        <f>IF(C11=0,0,E11/C11)</f>
        <v/>
      </c>
      <c r="G11" s="7" t="inlineStr">
        <is>
          <t>P0</t>
        </is>
      </c>
      <c r="H11" s="7" t="inlineStr">
        <is>
          <t>G 插圖與上架</t>
        </is>
      </c>
    </row>
    <row r="12">
      <c r="A12" s="4" t="inlineStr">
        <is>
          <t>H. 地圖</t>
        </is>
      </c>
      <c r="B12" s="4" t="inlineStr">
        <is>
          <t>世界地圖、3D 地圖貼圖</t>
        </is>
      </c>
      <c r="C12" s="5">
        <f>COUNTA('H 地圖'!$A$5:$A$8)</f>
        <v/>
      </c>
      <c r="D12" s="5">
        <f>COUNTA('H 地圖'!$A$5:$A$8)</f>
        <v/>
      </c>
      <c r="E12" s="5">
        <f>COUNTIF('H 地圖'!$E$5:$E$8,"已完成")</f>
        <v/>
      </c>
      <c r="F12" s="6">
        <f>IF(C12=0,0,E12/C12)</f>
        <v/>
      </c>
      <c r="G12" s="7" t="inlineStr">
        <is>
          <t>P0</t>
        </is>
      </c>
      <c r="H12" s="7" t="inlineStr">
        <is>
          <t>H 地圖</t>
        </is>
      </c>
    </row>
    <row r="13">
      <c r="A13" s="8" t="inlineStr">
        <is>
          <t>合計</t>
        </is>
      </c>
      <c r="B13" s="9" t="n"/>
      <c r="C13" s="10">
        <f>SUM(C5:C12)</f>
        <v/>
      </c>
      <c r="D13" s="10">
        <f>SUM(D5:D12)</f>
        <v/>
      </c>
      <c r="E13" s="10">
        <f>SUM(E5:E12)</f>
        <v/>
      </c>
      <c r="F13" s="11">
        <f>IF(C13=0,0,E13/C13)</f>
        <v/>
      </c>
      <c r="G13" s="9" t="n"/>
      <c r="H13" s="9" t="n"/>
    </row>
    <row r="15">
      <c r="A15" s="12" t="inlineStr">
        <is>
          <t>圖例</t>
        </is>
      </c>
    </row>
    <row r="16">
      <c r="A16" s="13" t="inlineStr">
        <is>
          <t>已完成</t>
        </is>
      </c>
      <c r="B16" s="14" t="inlineStr">
        <is>
          <t>已交圖並接進 App</t>
        </is>
      </c>
    </row>
    <row r="17">
      <c r="A17" s="15" t="inlineStr">
        <is>
          <t>製作中</t>
        </is>
      </c>
      <c r="B17" s="14" t="inlineStr">
        <is>
          <t>正在畫或正在接</t>
        </is>
      </c>
    </row>
    <row r="18">
      <c r="A18" s="16" t="inlineStr">
        <is>
          <t>待驗收</t>
        </is>
      </c>
      <c r="B18" s="14" t="inlineStr">
        <is>
          <t>已交圖，等實機檢查</t>
        </is>
      </c>
    </row>
    <row r="19">
      <c r="A19" s="17" t="inlineStr">
        <is>
          <t>暫代</t>
        </is>
      </c>
      <c r="B19" s="14" t="inlineStr">
        <is>
          <t>目前用程式畫或暫代圖</t>
        </is>
      </c>
    </row>
    <row r="20">
      <c r="A20" s="18" t="inlineStr">
        <is>
          <t>選配</t>
        </is>
      </c>
      <c r="B20" s="14" t="inlineStr">
        <is>
          <t>有需要再做</t>
        </is>
      </c>
    </row>
    <row r="21">
      <c r="A21" s="19" t="inlineStr">
        <is>
          <t>未開始</t>
        </is>
      </c>
      <c r="B21" s="14" t="inlineStr">
        <is>
          <t>還沒開始</t>
        </is>
      </c>
    </row>
    <row r="23">
      <c r="A23" s="20" t="inlineStr">
        <is>
          <t>綠色數字是公式（自動計算）；黃色欄位請填寫。</t>
        </is>
      </c>
    </row>
  </sheetData>
  <mergeCells count="1">
    <mergeCell ref="A2:H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2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52" customWidth="1" min="2" max="2"/>
    <col width="70" customWidth="1" min="3" max="3"/>
  </cols>
  <sheetData>
    <row r="1">
      <c r="A1" s="21" t="inlineStr">
        <is>
          <t>共通規格</t>
        </is>
      </c>
    </row>
    <row r="2" ht="32" customHeight="1">
      <c r="A2" s="2" t="inlineStr">
        <is>
          <t>所有美術都要遵守。每一項後面附上原因（多半是實際做過、踩過的破綻）。</t>
        </is>
      </c>
    </row>
    <row r="4" ht="30" customHeight="1">
      <c r="A4" s="3" t="inlineStr">
        <is>
          <t>項目</t>
        </is>
      </c>
      <c r="B4" s="3" t="inlineStr">
        <is>
          <t>規格</t>
        </is>
      </c>
      <c r="C4" s="3" t="inlineStr">
        <is>
          <t>說明／原因</t>
        </is>
      </c>
    </row>
    <row r="5">
      <c r="A5" s="22" t="inlineStr">
        <is>
          <t>氣氛</t>
        </is>
      </c>
      <c r="B5" s="22" t="inlineStr">
        <is>
          <t>安靜、療癒、溫暖、自然觀察（生態手冊感）</t>
        </is>
      </c>
      <c r="C5" s="22" t="inlineStr">
        <is>
          <t>專注 App：不要搶眼的特效、不要閃爍；沒有抽卡、沒有稀有度。</t>
        </is>
      </c>
    </row>
    <row r="6">
      <c r="A6" s="23" t="inlineStr">
        <is>
          <t>畫風</t>
        </is>
      </c>
      <c r="B6" s="23" t="inlineStr">
        <is>
          <t>霧面黏土質感的 2D 圖（像 3D 渲染）：圓潤、柔和光影、低紋理</t>
        </is>
      </c>
      <c r="C6" s="23" t="inlineStr">
        <is>
          <t>不要指紋、不要高光反射、不要粗黑描邊。</t>
        </is>
      </c>
    </row>
    <row r="7">
      <c r="A7" s="22" t="inlineStr">
        <is>
          <t>色彩</t>
        </is>
      </c>
      <c r="B7" s="22" t="inlineStr">
        <is>
          <t>低彩度鼠尾草綠為主，動物本身的顏色可以較鮮明</t>
        </is>
      </c>
      <c r="C7" s="22" t="inlineStr">
        <is>
          <t>介面色票：底色 #FBF6EC、面板 #FFFDF8、主色 #638553、深綠 #4A6A42、鼠尾草 #8CA67A、暖黃 #F3C566、珊瑚 #E08A70、湖藍 #9CCFD3、木色 #C9A77C。</t>
        </is>
      </c>
    </row>
    <row r="8">
      <c r="A8" s="23" t="inlineStr">
        <is>
          <t>光源</t>
        </is>
      </c>
      <c r="B8" s="23" t="inlineStr">
        <is>
          <t>左上方暖色漫射光，低對比</t>
        </is>
      </c>
      <c r="C8" s="23" t="inlineStr">
        <is>
          <t>所有動物、場景一致，放在同一個畫面才不會打架。</t>
        </is>
      </c>
    </row>
    <row r="9">
      <c r="A9" s="22" t="inlineStr">
        <is>
          <t>動物視角</t>
        </is>
      </c>
      <c r="B9" s="22" t="inlineStr">
        <is>
          <t>正側面、頭朝右，四條腿（或兩隻腳）都看得到</t>
        </is>
      </c>
      <c r="C9" s="22" t="inlineStr">
        <is>
          <t>網格動畫需要正側面主圖；所有動物、所有成長階段都一樣。</t>
        </is>
      </c>
    </row>
    <row r="10">
      <c r="A10" s="23" t="inlineStr">
        <is>
          <t>動物比例</t>
        </is>
      </c>
      <c r="B10" s="23" t="inlineStr">
        <is>
          <t>可愛化（頭稍大、身體圓潤），但物種特徵要正確</t>
        </is>
      </c>
      <c r="C10" s="23" t="inlineStr">
        <is>
          <t>保育主題：玩家要認得出真實物種。不穿衣服、不擬人站立。</t>
        </is>
      </c>
    </row>
    <row r="11">
      <c r="A11" s="22" t="inlineStr">
        <is>
          <t>動物解析度</t>
        </is>
      </c>
      <c r="B11" s="22" t="inlineStr">
        <is>
          <t>製作主圖 1024×1024（動物本體寬約 850～950 px）；App 用 512 px（之後可改 768）</t>
        </is>
      </c>
      <c r="C11" s="22" t="inlineStr">
        <is>
          <t>畫面上最大的是望遠鏡最後推近：A8s 約需 550 px、旗艦機約 770 px。詳細見「動物尺寸」分頁。</t>
        </is>
      </c>
    </row>
    <row r="12">
      <c r="A12" s="23" t="inlineStr">
        <is>
          <t>小尺寸辨識</t>
        </is>
      </c>
      <c r="B12" s="23" t="inlineStr">
        <is>
          <t>縮到 30～50 px 仍要一眼分辨種類</t>
        </is>
      </c>
      <c r="C12" s="23" t="inlineStr">
        <is>
          <t>專注紀錄的格子在月／年檢視只有 6～50 px。</t>
        </is>
      </c>
    </row>
    <row r="13">
      <c r="A13" s="22" t="inlineStr">
        <is>
          <t>禁止</t>
        </is>
      </c>
      <c r="B13" s="22" t="inlineStr">
        <is>
          <t>文字、浮水印、背景物件、地面陰影、玩具式關節</t>
        </is>
      </c>
      <c r="C13" s="22" t="inlineStr">
        <is>
          <t>地面陰影由程式加；讓 GPT 分開畫部件會把關節畫成插銷（見 B 動物動態）。</t>
        </is>
      </c>
    </row>
    <row r="14">
      <c r="A14" s="23" t="inlineStr">
        <is>
          <t>交件格式</t>
        </is>
      </c>
      <c r="B14" s="23" t="inlineStr">
        <is>
          <t>透明 PNG（sRGB），程式轉成 WebP</t>
        </is>
      </c>
      <c r="C14" s="23" t="inlineStr">
        <is>
          <t>尺寸用 2 的倍數；向量圖示可以給 SVG。</t>
        </is>
      </c>
    </row>
    <row r="15">
      <c r="A15" s="22" t="inlineStr">
        <is>
          <t>去背</t>
        </is>
      </c>
      <c r="B15" s="22" t="inlineStr">
        <is>
          <t>深色、淺色背景各檢查一次，不能有白邊</t>
        </is>
      </c>
      <c r="C15" s="22" t="inlineStr">
        <is>
          <t>白底去背：遮罩先往內縮 2 px 再柔化 0.8 px。</t>
        </is>
      </c>
    </row>
    <row r="16">
      <c r="A16" s="23" t="inlineStr">
        <is>
          <t>縮圖</t>
        </is>
      </c>
      <c r="B16" s="23" t="inlineStr">
        <is>
          <t>縮小一律用 BOX（區域平均），不用 Lanczos</t>
        </is>
      </c>
      <c r="C16" s="23" t="inlineStr">
        <is>
          <t>Lanczos 在硬邊會產生一圈亮線（振鈴）。</t>
        </is>
      </c>
    </row>
    <row r="17">
      <c r="A17" s="22" t="inlineStr">
        <is>
          <t>命名</t>
        </is>
      </c>
      <c r="B17" s="22" t="inlineStr">
        <is>
          <t>英文小寫加底線，例如 blue_magpie-2.png</t>
        </is>
      </c>
      <c r="C17" s="22" t="inlineStr">
        <is>
          <t>代號見各分頁的「代號」欄。</t>
        </is>
      </c>
    </row>
    <row r="18">
      <c r="A18" s="23" t="inlineStr">
        <is>
          <t>AI 輔助</t>
        </is>
      </c>
      <c r="B18" s="23" t="inlineStr">
        <is>
          <t>先定一張主圖，之後只做「只改一處」的編輯</t>
        </is>
      </c>
      <c r="C18" s="23" t="inlineStr">
        <is>
          <t>用同一張風格參考（石虎主圖），整系列才像同一款遊戲。</t>
        </is>
      </c>
    </row>
    <row r="19">
      <c r="A19" s="22" t="inlineStr">
        <is>
          <t>減少動態</t>
        </is>
      </c>
      <c r="B19" s="22" t="inlineStr">
        <is>
          <t>每個會動的東西都要有一張靜態畫面</t>
        </is>
      </c>
      <c r="C19" s="22" t="inlineStr">
        <is>
          <t>系統「減少動態效果」、App「平靜模式」時改用靜態。</t>
        </is>
      </c>
    </row>
    <row r="20">
      <c r="A20" s="23" t="inlineStr">
        <is>
          <t>容量</t>
        </is>
      </c>
      <c r="B20" s="23" t="inlineStr">
        <is>
          <t>動物網格每隻 ≤120 KB；全景每張 200～400 KB；圖示 ≤40 KB</t>
        </is>
      </c>
      <c r="C20" s="23" t="inlineStr">
        <is>
          <t>手機 App 安裝檔要小，載入要快。</t>
        </is>
      </c>
    </row>
    <row r="21">
      <c r="A21" s="22" t="inlineStr">
        <is>
          <t>驗收</t>
        </is>
      </c>
      <c r="B21" s="22" t="inlineStr">
        <is>
          <t>一律用手機實際顯示的大小檢查（半尺寸貼圖），並在 Galaxy A8s 實機確認</t>
        </is>
      </c>
      <c r="C21" s="22" t="inlineStr">
        <is>
          <t>原尺寸看起來正常、縮小後才出現的白線和斷層最常被漏掉。</t>
        </is>
      </c>
    </row>
  </sheetData>
  <autoFilter ref="A4:C21"/>
  <mergeCells count="1">
    <mergeCell ref="A2:C2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0" customWidth="1" min="2" max="2"/>
    <col width="18" customWidth="1" min="3" max="3"/>
    <col width="20" customWidth="1" min="4" max="4"/>
    <col width="36" customWidth="1" min="5" max="5"/>
  </cols>
  <sheetData>
    <row r="1">
      <c r="A1" s="21" t="inlineStr">
        <is>
          <t>動物尺寸：各畫面實際需要的像素</t>
        </is>
      </c>
    </row>
    <row r="2" ht="32" customHeight="1">
      <c r="A2" s="2" t="inlineStr">
        <is>
          <t>手機實際像素＝畫面大小（CSS px）× 螢幕密度（Galaxy A8s 約 2.6 倍，旗艦機約 3～3.5 倍）。結論：製作主圖 1024，App 用 512（之後可改 768）。</t>
        </is>
      </c>
    </row>
    <row r="4" ht="30" customHeight="1">
      <c r="A4" s="3" t="inlineStr">
        <is>
          <t>出現的地方</t>
        </is>
      </c>
      <c r="B4" s="3" t="inlineStr">
        <is>
          <t>畫面上的大小（CSS px）</t>
        </is>
      </c>
      <c r="C4" s="3" t="inlineStr">
        <is>
          <t>A8s 實際需要（px）</t>
        </is>
      </c>
      <c r="D4" s="3" t="inlineStr">
        <is>
          <t>旗艦機實際需要（px）</t>
        </is>
      </c>
      <c r="E4" s="3" t="inlineStr">
        <is>
          <t>備註</t>
        </is>
      </c>
    </row>
    <row r="5">
      <c r="A5" s="22" t="inlineStr">
        <is>
          <t>望遠鏡最後鎖定、推近（最大）</t>
        </is>
      </c>
      <c r="B5" s="22" t="inlineStr">
        <is>
          <t>約 200～220</t>
        </is>
      </c>
      <c r="C5" s="22" t="inlineStr">
        <is>
          <t>約 550</t>
        </is>
      </c>
      <c r="D5" s="22" t="inlineStr">
        <is>
          <t>約 700～770</t>
        </is>
      </c>
      <c r="E5" s="22" t="inlineStr">
        <is>
          <t>專注結束那一刻；決定主圖要多大</t>
        </is>
      </c>
    </row>
    <row r="6">
      <c r="A6" s="23" t="inlineStr">
        <is>
          <t>遇見動物的揭曉畫面</t>
        </is>
      </c>
      <c r="B6" s="23" t="inlineStr">
        <is>
          <t>170</t>
        </is>
      </c>
      <c r="C6" s="23" t="inlineStr">
        <is>
          <t>約 440</t>
        </is>
      </c>
      <c r="D6" s="23" t="inlineStr">
        <is>
          <t>約 600</t>
        </is>
      </c>
      <c r="E6" s="23" t="inlineStr"/>
    </row>
    <row r="7">
      <c r="A7" s="22" t="inlineStr">
        <is>
          <t>動物卡</t>
        </is>
      </c>
      <c r="B7" s="22" t="inlineStr">
        <is>
          <t>140</t>
        </is>
      </c>
      <c r="C7" s="22" t="inlineStr">
        <is>
          <t>約 365</t>
        </is>
      </c>
      <c r="D7" s="22" t="inlineStr">
        <is>
          <t>約 490</t>
        </is>
      </c>
      <c r="E7" s="22" t="inlineStr"/>
    </row>
    <row r="8">
      <c r="A8" s="23" t="inlineStr">
        <is>
          <t>結算卡片</t>
        </is>
      </c>
      <c r="B8" s="23" t="inlineStr">
        <is>
          <t>約 120</t>
        </is>
      </c>
      <c r="C8" s="23" t="inlineStr">
        <is>
          <t>約 315</t>
        </is>
      </c>
      <c r="D8" s="23" t="inlineStr">
        <is>
          <t>約 420</t>
        </is>
      </c>
      <c r="E8" s="23" t="inlineStr"/>
    </row>
    <row r="9">
      <c r="A9" s="22" t="inlineStr">
        <is>
          <t>分享圖（輸出 1080 寬）</t>
        </is>
      </c>
      <c r="B9" s="22" t="inlineStr">
        <is>
          <t>固定</t>
        </is>
      </c>
      <c r="C9" s="22" t="inlineStr">
        <is>
          <t>440</t>
        </is>
      </c>
      <c r="D9" s="22" t="inlineStr">
        <is>
          <t>440</t>
        </is>
      </c>
      <c r="E9" s="22" t="inlineStr">
        <is>
          <t>和手機無關</t>
        </is>
      </c>
    </row>
    <row r="10">
      <c r="A10" s="23" t="inlineStr">
        <is>
          <t>我的小島</t>
        </is>
      </c>
      <c r="B10" s="23" t="inlineStr">
        <is>
          <t>52～96</t>
        </is>
      </c>
      <c r="C10" s="23" t="inlineStr">
        <is>
          <t>約 250</t>
        </is>
      </c>
      <c r="D10" s="23" t="inlineStr">
        <is>
          <t>約 340</t>
        </is>
      </c>
      <c r="E10" s="23" t="inlineStr"/>
    </row>
    <row r="11">
      <c r="A11" s="22" t="inlineStr">
        <is>
          <t>專注紀錄的格子</t>
        </is>
      </c>
      <c r="B11" s="22" t="inlineStr">
        <is>
          <t>6～50</t>
        </is>
      </c>
      <c r="C11" s="22" t="inlineStr">
        <is>
          <t>很小</t>
        </is>
      </c>
      <c r="D11" s="22" t="inlineStr">
        <is>
          <t>很小</t>
        </is>
      </c>
      <c r="E11" s="22" t="inlineStr">
        <is>
          <t>要能一眼認出種類</t>
        </is>
      </c>
    </row>
    <row r="13">
      <c r="A13" s="24" t="inlineStr">
        <is>
          <t>建議規格</t>
        </is>
      </c>
    </row>
    <row r="14">
      <c r="A14" s="25" t="inlineStr">
        <is>
          <t>項目</t>
        </is>
      </c>
      <c r="B14" s="25" t="inlineStr">
        <is>
          <t>規格</t>
        </is>
      </c>
      <c r="C14" s="25" t="inlineStr">
        <is>
          <t>說明</t>
        </is>
      </c>
    </row>
    <row r="15">
      <c r="A15" s="26" t="inlineStr">
        <is>
          <t>製作主圖</t>
        </is>
      </c>
      <c r="B15" s="26" t="inlineStr">
        <is>
          <t>1024×1024，動物本體寬約 850～950 px</t>
        </is>
      </c>
      <c r="C15" s="26" t="inlineStr">
        <is>
          <t>所有部件、網格動態的唯一來源；之後裁切、局部重畫都要留解析度。GPT 一次畫 1024 剛好。</t>
        </is>
      </c>
    </row>
    <row r="16">
      <c r="A16" s="26" t="inlineStr">
        <is>
          <t>App 貼圖（建議）</t>
        </is>
      </c>
      <c r="B16" s="26" t="inlineStr">
        <is>
          <t>512 px</t>
        </is>
      </c>
      <c r="C16" s="26" t="inlineStr">
        <is>
          <t>A8s 幾乎看不出差別、容量最省（每隻網格 ≤120 KB）；旗艦機在望遠鏡推近那一刻稍微軟一點。</t>
        </is>
      </c>
    </row>
    <row r="17">
      <c r="A17" s="26" t="inlineStr">
        <is>
          <t>App 貼圖（之後可選）</t>
        </is>
      </c>
      <c r="B17" s="26" t="inlineStr">
        <is>
          <t>768 px</t>
        </is>
      </c>
      <c r="C17" s="26" t="inlineStr">
        <is>
          <t>旗艦機推近也清楚；每隻容量約多 1.5～2 倍，40 隻約多 4～6 MB。主圖是 1024，可以直接重新輸出，不用重畫。</t>
        </is>
      </c>
    </row>
    <row r="18">
      <c r="A18" s="26" t="inlineStr">
        <is>
          <t>幼年、亞成年</t>
        </is>
      </c>
      <c r="B18" s="26" t="inlineStr">
        <is>
          <t>同一張畫布，本體約成年的 60%、80%</t>
        </is>
      </c>
      <c r="C18" s="26" t="inlineStr">
        <is>
          <t>畫面上本來就比較小，不用另外畫大。</t>
        </is>
      </c>
    </row>
  </sheetData>
  <autoFilter ref="A4:E11"/>
  <mergeCells count="1">
    <mergeCell ref="A2:E2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R4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12" customWidth="1" min="3" max="3"/>
    <col width="7" customWidth="1" min="4" max="4"/>
    <col width="8" customWidth="1" min="5" max="5"/>
    <col width="6" customWidth="1" min="6" max="6"/>
    <col width="20" customWidth="1" min="7" max="7"/>
    <col width="44" customWidth="1" min="8" max="8"/>
    <col width="18" customWidth="1" min="9" max="9"/>
    <col width="9" customWidth="1" min="10" max="10"/>
    <col width="20" customWidth="1" min="11" max="11"/>
    <col width="18" customWidth="1" min="12" max="12"/>
    <col width="22" customWidth="1" min="13" max="13"/>
    <col width="8" customWidth="1" min="14" max="14"/>
    <col width="7" customWidth="1" min="15" max="15"/>
    <col width="26" customWidth="1" min="16" max="16"/>
    <col width="9" customWidth="1" min="17" max="17"/>
    <col width="34" customWidth="1" min="18" max="18"/>
  </cols>
  <sheetData>
    <row r="1">
      <c r="A1" s="21" t="inlineStr">
        <is>
          <t>A. 動物主圖（每個成長階段 1 張）</t>
        </is>
      </c>
    </row>
    <row r="2" ht="32" customHeight="1">
      <c r="A2" s="2" t="inlineStr">
        <is>
          <t>正側面、頭朝右；製作時 1024×1024 白底主圖，App 用 512×512 透明（腳底 y＝472，離下緣 40 px）。三個成長階段畫布一樣大：幼年約成年的 60%、亞成年約 80%，腳底同一條線。這張主圖同時是 B 動物動態的唯一像素來源。黃色欄位由製作者更新。保育等級來源：維基百科「臺灣保育物種列表」（整理自農業部、海洋委員會名錄），上架前要以農業部 114/2/7 版名錄 PDF 再核對。</t>
        </is>
      </c>
    </row>
    <row r="4" ht="30" customHeight="1">
      <c r="A4" s="3" t="inlineStr">
        <is>
          <t>編號</t>
        </is>
      </c>
      <c r="B4" s="3" t="inlineStr">
        <is>
          <t>代號</t>
        </is>
      </c>
      <c r="C4" s="3" t="inlineStr">
        <is>
          <t>名稱</t>
        </is>
      </c>
      <c r="D4" s="3" t="inlineStr">
        <is>
          <t>區域</t>
        </is>
      </c>
      <c r="E4" s="3" t="inlineStr">
        <is>
          <t>體型</t>
        </is>
      </c>
      <c r="F4" s="3" t="inlineStr">
        <is>
          <t>張數</t>
        </is>
      </c>
      <c r="G4" s="3" t="inlineStr">
        <is>
          <t>成長階段</t>
        </is>
      </c>
      <c r="H4" s="3" t="inlineStr">
        <is>
          <t>外型重點（給畫師／GPT）</t>
        </is>
      </c>
      <c r="I4" s="3" t="inlineStr">
        <is>
          <t>望遠鏡全景</t>
        </is>
      </c>
      <c r="J4" s="3" t="inlineStr">
        <is>
          <t>活動時段</t>
        </is>
      </c>
      <c r="K4" s="3" t="inlineStr">
        <is>
          <t>出現方式</t>
        </is>
      </c>
      <c r="L4" s="3" t="inlineStr">
        <is>
          <t>保育等級（稀有度）</t>
        </is>
      </c>
      <c r="M4" s="3" t="inlineStr">
        <is>
          <t>取得方式</t>
        </is>
      </c>
      <c r="N4" s="3" t="inlineStr">
        <is>
          <t>交圖批次</t>
        </is>
      </c>
      <c r="O4" s="3" t="inlineStr">
        <is>
          <t>優先度</t>
        </is>
      </c>
      <c r="P4" s="3" t="inlineStr">
        <is>
          <t>檔名</t>
        </is>
      </c>
      <c r="Q4" s="3" t="inlineStr">
        <is>
          <t>狀態</t>
        </is>
      </c>
      <c r="R4" s="3" t="inlineStr">
        <is>
          <t>備註</t>
        </is>
      </c>
    </row>
    <row r="5" ht="22" customHeight="1">
      <c r="A5" s="27" t="inlineStr">
        <is>
          <t>台灣（21 種）</t>
        </is>
      </c>
    </row>
    <row r="6">
      <c r="A6" s="28" t="n">
        <v>1</v>
      </c>
      <c r="B6" s="23" t="inlineStr">
        <is>
          <t>black_bear</t>
        </is>
      </c>
      <c r="C6" s="23" t="inlineStr">
        <is>
          <t>台灣黑熊</t>
        </is>
      </c>
      <c r="D6" s="23" t="inlineStr">
        <is>
          <t>台灣</t>
        </is>
      </c>
      <c r="E6" s="23" t="inlineStr">
        <is>
          <t>熊</t>
        </is>
      </c>
      <c r="F6" s="28" t="n">
        <v>3</v>
      </c>
      <c r="G6" s="23" t="inlineStr">
        <is>
          <t>幼年／亞成年／成年</t>
        </is>
      </c>
      <c r="H6" s="23" t="inlineStr">
        <is>
          <t>黑色毛、胸前白色 V 字斑、圓耳</t>
        </is>
      </c>
      <c r="I6" s="23" t="inlineStr">
        <is>
          <t>山地森林</t>
        </is>
      </c>
      <c r="J6" s="23" t="inlineStr">
        <is>
          <t>白天</t>
        </is>
      </c>
      <c r="K6" s="23" t="inlineStr">
        <is>
          <t>從遠處走過來</t>
        </is>
      </c>
      <c r="L6" s="23" t="inlineStr">
        <is>
          <t>第一級・瀕臨絕種</t>
        </is>
      </c>
      <c r="M6" s="23" t="inlineStr">
        <is>
          <t>修好「設立保育救傷站」</t>
        </is>
      </c>
      <c r="N6" s="28" t="n">
        <v>2</v>
      </c>
      <c r="O6" s="23" t="inlineStr">
        <is>
          <t>P0</t>
        </is>
      </c>
      <c r="P6" s="23" t="inlineStr">
        <is>
          <t>black_bear-0/1/2.png</t>
        </is>
      </c>
      <c r="Q6" s="29" t="inlineStr">
        <is>
          <t>未開始</t>
        </is>
      </c>
      <c r="R6" s="30" t="inlineStr"/>
    </row>
    <row r="7">
      <c r="A7" s="31" t="n">
        <v>2</v>
      </c>
      <c r="B7" s="22" t="inlineStr">
        <is>
          <t>leopard_cat</t>
        </is>
      </c>
      <c r="C7" s="22" t="inlineStr">
        <is>
          <t>石虎</t>
        </is>
      </c>
      <c r="D7" s="22" t="inlineStr">
        <is>
          <t>台灣</t>
        </is>
      </c>
      <c r="E7" s="22" t="inlineStr">
        <is>
          <t>貓科</t>
        </is>
      </c>
      <c r="F7" s="31" t="n">
        <v>3</v>
      </c>
      <c r="G7" s="22" t="inlineStr">
        <is>
          <t>幼年／亞成年／成年</t>
        </is>
      </c>
      <c r="H7" s="22" t="inlineStr">
        <is>
          <t>家貓大小、黃褐底色有黑斑、額頭兩條白紋、耳背白斑（已有主圖，作為全系列風格參考）</t>
        </is>
      </c>
      <c r="I7" s="22" t="inlineStr">
        <is>
          <t>中低海拔森林</t>
        </is>
      </c>
      <c r="J7" s="22" t="inlineStr">
        <is>
          <t>晨昏</t>
        </is>
      </c>
      <c r="K7" s="22" t="inlineStr">
        <is>
          <t>從遠處走過來</t>
        </is>
      </c>
      <c r="L7" s="22" t="inlineStr">
        <is>
          <t>第一級・瀕臨絕種</t>
        </is>
      </c>
      <c r="M7" s="22" t="inlineStr">
        <is>
          <t>修好「修好森林觀察小屋」</t>
        </is>
      </c>
      <c r="N7" s="31" t="n">
        <v>1</v>
      </c>
      <c r="O7" s="22" t="inlineStr">
        <is>
          <t>P0</t>
        </is>
      </c>
      <c r="P7" s="22" t="inlineStr">
        <is>
          <t>leopard_cat-0/1/2.png</t>
        </is>
      </c>
      <c r="Q7" s="32" t="inlineStr">
        <is>
          <t>製作中</t>
        </is>
      </c>
      <c r="R7" s="30" t="inlineStr">
        <is>
          <t>成年主圖、網格已完成（全系列的風格與規格參考）；幼年、亞成年未做</t>
        </is>
      </c>
    </row>
    <row r="8">
      <c r="A8" s="28" t="n">
        <v>3</v>
      </c>
      <c r="B8" s="23" t="inlineStr">
        <is>
          <t>pangolin</t>
        </is>
      </c>
      <c r="C8" s="23" t="inlineStr">
        <is>
          <t>穿山甲</t>
        </is>
      </c>
      <c r="D8" s="23" t="inlineStr">
        <is>
          <t>台灣</t>
        </is>
      </c>
      <c r="E8" s="23" t="inlineStr">
        <is>
          <t>穿山甲</t>
        </is>
      </c>
      <c r="F8" s="28" t="n">
        <v>3</v>
      </c>
      <c r="G8" s="23" t="inlineStr">
        <is>
          <t>幼年／亞成年／成年</t>
        </is>
      </c>
      <c r="H8" s="23" t="inlineStr">
        <is>
          <t>全身覆蓋褐色鱗片、尖嘴、長尾巴、短腿</t>
        </is>
      </c>
      <c r="I8" s="23" t="inlineStr">
        <is>
          <t>中低海拔森林</t>
        </is>
      </c>
      <c r="J8" s="23" t="inlineStr">
        <is>
          <t>夜晚</t>
        </is>
      </c>
      <c r="K8" s="23" t="inlineStr">
        <is>
          <t>從遠處走過來</t>
        </is>
      </c>
      <c r="L8" s="23" t="inlineStr">
        <is>
          <t>第二級・珍貴稀有</t>
        </is>
      </c>
      <c r="M8" s="23" t="inlineStr">
        <is>
          <t>修好「清出林間步道」</t>
        </is>
      </c>
      <c r="N8" s="28" t="n">
        <v>1</v>
      </c>
      <c r="O8" s="23" t="inlineStr">
        <is>
          <t>P0</t>
        </is>
      </c>
      <c r="P8" s="23" t="inlineStr">
        <is>
          <t>pangolin-0/1/2.png</t>
        </is>
      </c>
      <c r="Q8" s="29" t="inlineStr">
        <is>
          <t>未開始</t>
        </is>
      </c>
      <c r="R8" s="30" t="inlineStr"/>
    </row>
    <row r="9">
      <c r="A9" s="31" t="n">
        <v>4</v>
      </c>
      <c r="B9" s="22" t="inlineStr">
        <is>
          <t>blue_magpie</t>
        </is>
      </c>
      <c r="C9" s="22" t="inlineStr">
        <is>
          <t>台灣藍鵲</t>
        </is>
      </c>
      <c r="D9" s="22" t="inlineStr">
        <is>
          <t>台灣</t>
        </is>
      </c>
      <c r="E9" s="22" t="inlineStr">
        <is>
          <t>鳥</t>
        </is>
      </c>
      <c r="F9" s="31" t="n">
        <v>3</v>
      </c>
      <c r="G9" s="22" t="inlineStr">
        <is>
          <t>雛鳥／幼鳥／成鳥</t>
        </is>
      </c>
      <c r="H9" s="22" t="inlineStr">
        <is>
          <t>寶藍色身體、黑頭、紅嘴紅腳、非常長的白端尾羽</t>
        </is>
      </c>
      <c r="I9" s="22" t="inlineStr">
        <is>
          <t>中低海拔森林</t>
        </is>
      </c>
      <c r="J9" s="22" t="inlineStr">
        <is>
          <t>白天</t>
        </is>
      </c>
      <c r="K9" s="22" t="inlineStr">
        <is>
          <t>遠處飛 → 停到倒木上</t>
        </is>
      </c>
      <c r="L9" s="22" t="inlineStr">
        <is>
          <t>第三級・其他應予保育</t>
        </is>
      </c>
      <c r="M9" s="22" t="inlineStr">
        <is>
          <t>一開始就能找</t>
        </is>
      </c>
      <c r="N9" s="31" t="n">
        <v>1</v>
      </c>
      <c r="O9" s="22" t="inlineStr">
        <is>
          <t>P0</t>
        </is>
      </c>
      <c r="P9" s="22" t="inlineStr">
        <is>
          <t>blue_magpie-0/1/2.png</t>
        </is>
      </c>
      <c r="Q9" s="29" t="inlineStr">
        <is>
          <t>未開始</t>
        </is>
      </c>
      <c r="R9" s="30" t="inlineStr"/>
    </row>
    <row r="10">
      <c r="A10" s="28" t="n">
        <v>5</v>
      </c>
      <c r="B10" s="23" t="inlineStr">
        <is>
          <t>pitta</t>
        </is>
      </c>
      <c r="C10" s="23" t="inlineStr">
        <is>
          <t>八色鳥</t>
        </is>
      </c>
      <c r="D10" s="23" t="inlineStr">
        <is>
          <t>台灣</t>
        </is>
      </c>
      <c r="E10" s="23" t="inlineStr">
        <is>
          <t>鳥</t>
        </is>
      </c>
      <c r="F10" s="28" t="n">
        <v>3</v>
      </c>
      <c r="G10" s="23" t="inlineStr">
        <is>
          <t>雛鳥／幼鳥／成鳥</t>
        </is>
      </c>
      <c r="H10" s="23" t="inlineStr">
        <is>
          <t>綠背、藍色肩斑、黑色過眼線、橘黃腹部、紅色尾下覆羽，短尾</t>
        </is>
      </c>
      <c r="I10" s="23" t="inlineStr">
        <is>
          <t>中低海拔森林</t>
        </is>
      </c>
      <c r="J10" s="23" t="inlineStr">
        <is>
          <t>白天</t>
        </is>
      </c>
      <c r="K10" s="23" t="inlineStr">
        <is>
          <t>遠處飛 → 停到倒木上</t>
        </is>
      </c>
      <c r="L10" s="23" t="inlineStr">
        <is>
          <t>第二級・珍貴稀有</t>
        </is>
      </c>
      <c r="M10" s="23" t="inlineStr">
        <is>
          <t>修好「種回原生樹苗」</t>
        </is>
      </c>
      <c r="N10" s="28" t="n">
        <v>1</v>
      </c>
      <c r="O10" s="23" t="inlineStr">
        <is>
          <t>P0</t>
        </is>
      </c>
      <c r="P10" s="23" t="inlineStr">
        <is>
          <t>pitta-0/1/2.png</t>
        </is>
      </c>
      <c r="Q10" s="29" t="inlineStr">
        <is>
          <t>未開始</t>
        </is>
      </c>
      <c r="R10" s="30" t="inlineStr"/>
    </row>
    <row r="11">
      <c r="A11" s="31" t="n">
        <v>6</v>
      </c>
      <c r="B11" s="22" t="inlineStr">
        <is>
          <t>mikado_pheasant</t>
        </is>
      </c>
      <c r="C11" s="22" t="inlineStr">
        <is>
          <t>帝雉</t>
        </is>
      </c>
      <c r="D11" s="22" t="inlineStr">
        <is>
          <t>台灣</t>
        </is>
      </c>
      <c r="E11" s="22" t="inlineStr">
        <is>
          <t>雉雞</t>
        </is>
      </c>
      <c r="F11" s="31" t="n">
        <v>1</v>
      </c>
      <c r="G11" s="22" t="inlineStr">
        <is>
          <t>只有一種樣式</t>
        </is>
      </c>
      <c r="H11" s="22" t="inlineStr">
        <is>
          <t>雄鳥深藍紫光澤羽毛、紅色臉、尾羽有白色橫帶</t>
        </is>
      </c>
      <c r="I11" s="22" t="inlineStr">
        <is>
          <t>山地森林</t>
        </is>
      </c>
      <c r="J11" s="22" t="inlineStr">
        <is>
          <t>晨昏</t>
        </is>
      </c>
      <c r="K11" s="22" t="inlineStr">
        <is>
          <t>從遠處走過來</t>
        </is>
      </c>
      <c r="L11" s="22" t="inlineStr">
        <is>
          <t>第二級・珍貴稀有</t>
        </is>
      </c>
      <c r="M11" s="22" t="inlineStr">
        <is>
          <t>商店 1,200 金幣</t>
        </is>
      </c>
      <c r="N11" s="31" t="n">
        <v>4</v>
      </c>
      <c r="O11" s="22" t="inlineStr">
        <is>
          <t>P1</t>
        </is>
      </c>
      <c r="P11" s="22" t="inlineStr">
        <is>
          <t>mikado_pheasant-2.png</t>
        </is>
      </c>
      <c r="Q11" s="29" t="inlineStr">
        <is>
          <t>未開始</t>
        </is>
      </c>
      <c r="R11" s="30" t="inlineStr"/>
    </row>
    <row r="12">
      <c r="A12" s="28" t="n">
        <v>7</v>
      </c>
      <c r="B12" s="23" t="inlineStr">
        <is>
          <t>swinhoe_pheasant</t>
        </is>
      </c>
      <c r="C12" s="23" t="inlineStr">
        <is>
          <t>藍腹鷴</t>
        </is>
      </c>
      <c r="D12" s="23" t="inlineStr">
        <is>
          <t>台灣</t>
        </is>
      </c>
      <c r="E12" s="23" t="inlineStr">
        <is>
          <t>雉雞</t>
        </is>
      </c>
      <c r="F12" s="28" t="n">
        <v>3</v>
      </c>
      <c r="G12" s="23" t="inlineStr">
        <is>
          <t>雛鳥／幼鳥／成鳥</t>
        </is>
      </c>
      <c r="H12" s="23" t="inlineStr">
        <is>
          <t>雄鳥深藍身體、白色長尾羽、紅色臉部裸皮、白色冠羽</t>
        </is>
      </c>
      <c r="I12" s="23" t="inlineStr">
        <is>
          <t>中低海拔森林</t>
        </is>
      </c>
      <c r="J12" s="23" t="inlineStr">
        <is>
          <t>晨昏</t>
        </is>
      </c>
      <c r="K12" s="23" t="inlineStr">
        <is>
          <t>從遠處走過來</t>
        </is>
      </c>
      <c r="L12" s="23" t="inlineStr">
        <is>
          <t>第二級・珍貴稀有</t>
        </is>
      </c>
      <c r="M12" s="23" t="inlineStr">
        <is>
          <t>修好「恢復林下草叢」</t>
        </is>
      </c>
      <c r="N12" s="28" t="n">
        <v>2</v>
      </c>
      <c r="O12" s="23" t="inlineStr">
        <is>
          <t>P0</t>
        </is>
      </c>
      <c r="P12" s="23" t="inlineStr">
        <is>
          <t>swinhoe_pheasant-0/1/2.png</t>
        </is>
      </c>
      <c r="Q12" s="29" t="inlineStr">
        <is>
          <t>未開始</t>
        </is>
      </c>
      <c r="R12" s="30" t="inlineStr"/>
    </row>
    <row r="13">
      <c r="A13" s="31" t="n">
        <v>8</v>
      </c>
      <c r="B13" s="22" t="inlineStr">
        <is>
          <t>marten</t>
        </is>
      </c>
      <c r="C13" s="22" t="inlineStr">
        <is>
          <t>黃喉貂</t>
        </is>
      </c>
      <c r="D13" s="22" t="inlineStr">
        <is>
          <t>台灣</t>
        </is>
      </c>
      <c r="E13" s="22" t="inlineStr">
        <is>
          <t>貂、獴</t>
        </is>
      </c>
      <c r="F13" s="31" t="n">
        <v>3</v>
      </c>
      <c r="G13" s="22" t="inlineStr">
        <is>
          <t>幼年／亞成年／成年</t>
        </is>
      </c>
      <c r="H13" s="22" t="inlineStr">
        <is>
          <t>深褐近黑的細長身體、亮黃色喉嚨、長尾</t>
        </is>
      </c>
      <c r="I13" s="22" t="inlineStr">
        <is>
          <t>山地森林</t>
        </is>
      </c>
      <c r="J13" s="22" t="inlineStr">
        <is>
          <t>白天</t>
        </is>
      </c>
      <c r="K13" s="22" t="inlineStr">
        <is>
          <t>從遠處走過來</t>
        </is>
      </c>
      <c r="L13" s="22" t="inlineStr">
        <is>
          <t>第三級・其他應予保育</t>
        </is>
      </c>
      <c r="M13" s="22" t="inlineStr">
        <is>
          <t>修好「整理森林水源地」</t>
        </is>
      </c>
      <c r="N13" s="31" t="n">
        <v>2</v>
      </c>
      <c r="O13" s="22" t="inlineStr">
        <is>
          <t>P0</t>
        </is>
      </c>
      <c r="P13" s="22" t="inlineStr">
        <is>
          <t>marten-0/1/2.png</t>
        </is>
      </c>
      <c r="Q13" s="29" t="inlineStr">
        <is>
          <t>未開始</t>
        </is>
      </c>
      <c r="R13" s="30" t="inlineStr"/>
    </row>
    <row r="14">
      <c r="A14" s="28" t="n">
        <v>9</v>
      </c>
      <c r="B14" s="23" t="inlineStr">
        <is>
          <t>hawk_eagle</t>
        </is>
      </c>
      <c r="C14" s="23" t="inlineStr">
        <is>
          <t>熊鷹</t>
        </is>
      </c>
      <c r="D14" s="23" t="inlineStr">
        <is>
          <t>台灣</t>
        </is>
      </c>
      <c r="E14" s="23" t="inlineStr">
        <is>
          <t>猛禽</t>
        </is>
      </c>
      <c r="F14" s="28" t="n">
        <v>3</v>
      </c>
      <c r="G14" s="23" t="inlineStr">
        <is>
          <t>雛鳥／幼鳥／成鳥</t>
        </is>
      </c>
      <c r="H14" s="23" t="inlineStr">
        <is>
          <t>大型猛禽、褐色身體、胸腹有橫斑、頭後短冠羽、寬大的翅膀</t>
        </is>
      </c>
      <c r="I14" s="23" t="inlineStr">
        <is>
          <t>山地森林</t>
        </is>
      </c>
      <c r="J14" s="23" t="inlineStr">
        <is>
          <t>白天</t>
        </is>
      </c>
      <c r="K14" s="23" t="inlineStr">
        <is>
          <t>天空盤旋 → 降落</t>
        </is>
      </c>
      <c r="L14" s="23" t="inlineStr">
        <is>
          <t>第一級・瀕臨絕種</t>
        </is>
      </c>
      <c r="M14" s="23" t="inlineStr">
        <is>
          <t>修好「搭建樹冠步道」</t>
        </is>
      </c>
      <c r="N14" s="28" t="n">
        <v>2</v>
      </c>
      <c r="O14" s="23" t="inlineStr">
        <is>
          <t>P0</t>
        </is>
      </c>
      <c r="P14" s="23" t="inlineStr">
        <is>
          <t>hawk_eagle-0/1/2.png</t>
        </is>
      </c>
      <c r="Q14" s="29" t="inlineStr">
        <is>
          <t>未開始</t>
        </is>
      </c>
      <c r="R14" s="30" t="inlineStr"/>
    </row>
    <row r="15">
      <c r="A15" s="31" t="n">
        <v>10</v>
      </c>
      <c r="B15" s="22" t="inlineStr">
        <is>
          <t>fish_owl</t>
        </is>
      </c>
      <c r="C15" s="22" t="inlineStr">
        <is>
          <t>黃魚鴞</t>
        </is>
      </c>
      <c r="D15" s="22" t="inlineStr">
        <is>
          <t>台灣</t>
        </is>
      </c>
      <c r="E15" s="22" t="inlineStr">
        <is>
          <t>貓頭鷹</t>
        </is>
      </c>
      <c r="F15" s="31" t="n">
        <v>1</v>
      </c>
      <c r="G15" s="22" t="inlineStr">
        <is>
          <t>只有一種樣式</t>
        </is>
      </c>
      <c r="H15" s="22" t="inlineStr">
        <is>
          <t>大型貓頭鷹、橘黃褐色、明顯耳羽、黃色眼睛、腳上沒有羽毛</t>
        </is>
      </c>
      <c r="I15" s="22" t="inlineStr">
        <is>
          <t>溪流</t>
        </is>
      </c>
      <c r="J15" s="22" t="inlineStr">
        <is>
          <t>夜晚</t>
        </is>
      </c>
      <c r="K15" s="22" t="inlineStr">
        <is>
          <t>夜裡先亮眼睛 → 停到倒木上</t>
        </is>
      </c>
      <c r="L15" s="22" t="inlineStr">
        <is>
          <t>第二級・珍貴稀有</t>
        </is>
      </c>
      <c r="M15" s="22" t="inlineStr">
        <is>
          <t>商店 90 寶石</t>
        </is>
      </c>
      <c r="N15" s="31" t="n">
        <v>4</v>
      </c>
      <c r="O15" s="22" t="inlineStr">
        <is>
          <t>P1</t>
        </is>
      </c>
      <c r="P15" s="22" t="inlineStr">
        <is>
          <t>fish_owl-2.png</t>
        </is>
      </c>
      <c r="Q15" s="29" t="inlineStr">
        <is>
          <t>未開始</t>
        </is>
      </c>
      <c r="R15" s="30" t="inlineStr">
        <is>
          <t>程式原本寫第一級，已改成第二級</t>
        </is>
      </c>
    </row>
    <row r="16">
      <c r="A16" s="28" t="n">
        <v>11</v>
      </c>
      <c r="B16" s="23" t="inlineStr">
        <is>
          <t>black_faced_spoonbill</t>
        </is>
      </c>
      <c r="C16" s="23" t="inlineStr">
        <is>
          <t>黑面琵鷺</t>
        </is>
      </c>
      <c r="D16" s="23" t="inlineStr">
        <is>
          <t>台灣</t>
        </is>
      </c>
      <c r="E16" s="23" t="inlineStr">
        <is>
          <t>涉禽</t>
        </is>
      </c>
      <c r="F16" s="28" t="n">
        <v>1</v>
      </c>
      <c r="G16" s="23" t="inlineStr">
        <is>
          <t>只有一種樣式</t>
        </is>
      </c>
      <c r="H16" s="23" t="inlineStr">
        <is>
          <t>白色羽毛、黑色的臉、黑色湯匙狀長嘴、長腳（冬候鳥，曾文溪口）</t>
        </is>
      </c>
      <c r="I16" s="23" t="inlineStr">
        <is>
          <t>濕地河口</t>
        </is>
      </c>
      <c r="J16" s="23" t="inlineStr">
        <is>
          <t>白天</t>
        </is>
      </c>
      <c r="K16" s="23" t="inlineStr">
        <is>
          <t>從遠處涉水走過來</t>
        </is>
      </c>
      <c r="L16" s="23" t="inlineStr">
        <is>
          <t>第一級・瀕臨絕種</t>
        </is>
      </c>
      <c r="M16" s="23" t="inlineStr">
        <is>
          <t>待定（新物種）</t>
        </is>
      </c>
      <c r="N16" s="28" t="n">
        <v>6</v>
      </c>
      <c r="O16" s="23" t="inlineStr">
        <is>
          <t>P2</t>
        </is>
      </c>
      <c r="P16" s="23" t="inlineStr">
        <is>
          <t>black_faced_spoonbill-2.png</t>
        </is>
      </c>
      <c r="Q16" s="29" t="inlineStr">
        <is>
          <t>未開始</t>
        </is>
      </c>
      <c r="R16" s="30" t="inlineStr">
        <is>
          <t>新增</t>
        </is>
      </c>
    </row>
    <row r="17">
      <c r="A17" s="31" t="n">
        <v>12</v>
      </c>
      <c r="B17" s="22" t="inlineStr">
        <is>
          <t>yellow_tit</t>
        </is>
      </c>
      <c r="C17" s="22" t="inlineStr">
        <is>
          <t>黃山雀</t>
        </is>
      </c>
      <c r="D17" s="22" t="inlineStr">
        <is>
          <t>台灣</t>
        </is>
      </c>
      <c r="E17" s="22" t="inlineStr">
        <is>
          <t>鳥</t>
        </is>
      </c>
      <c r="F17" s="31" t="n">
        <v>1</v>
      </c>
      <c r="G17" s="22" t="inlineStr">
        <is>
          <t>只有一種樣式</t>
        </is>
      </c>
      <c r="H17" s="22" t="inlineStr">
        <is>
          <t>黃色身體、黑色冠羽、黑色喉部、灰藍翅膀（台灣特有種）</t>
        </is>
      </c>
      <c r="I17" s="22" t="inlineStr">
        <is>
          <t>山地森林</t>
        </is>
      </c>
      <c r="J17" s="22" t="inlineStr">
        <is>
          <t>白天</t>
        </is>
      </c>
      <c r="K17" s="22" t="inlineStr">
        <is>
          <t>遠處飛 → 停到倒木上</t>
        </is>
      </c>
      <c r="L17" s="22" t="inlineStr">
        <is>
          <t>第二級・珍貴稀有</t>
        </is>
      </c>
      <c r="M17" s="22" t="inlineStr">
        <is>
          <t>商店 70 寶石</t>
        </is>
      </c>
      <c r="N17" s="31" t="n">
        <v>4</v>
      </c>
      <c r="O17" s="22" t="inlineStr">
        <is>
          <t>P1</t>
        </is>
      </c>
      <c r="P17" s="22" t="inlineStr">
        <is>
          <t>yellow_tit-2.png</t>
        </is>
      </c>
      <c r="Q17" s="29" t="inlineStr">
        <is>
          <t>未開始</t>
        </is>
      </c>
      <c r="R17" s="30" t="inlineStr"/>
    </row>
    <row r="18">
      <c r="A18" s="28" t="n">
        <v>13</v>
      </c>
      <c r="B18" s="23" t="inlineStr">
        <is>
          <t>hill_partridge</t>
        </is>
      </c>
      <c r="C18" s="23" t="inlineStr">
        <is>
          <t>台灣山鷓鴣</t>
        </is>
      </c>
      <c r="D18" s="23" t="inlineStr">
        <is>
          <t>台灣</t>
        </is>
      </c>
      <c r="E18" s="23" t="inlineStr">
        <is>
          <t>雉雞</t>
        </is>
      </c>
      <c r="F18" s="28" t="n">
        <v>1</v>
      </c>
      <c r="G18" s="23" t="inlineStr">
        <is>
          <t>只有一種樣式</t>
        </is>
      </c>
      <c r="H18" s="23" t="inlineStr">
        <is>
          <t>圓胖的地棲鳥、褐色身體、白色喉部、紅色眼周（台灣特有）</t>
        </is>
      </c>
      <c r="I18" s="23" t="inlineStr">
        <is>
          <t>中低海拔森林</t>
        </is>
      </c>
      <c r="J18" s="23" t="inlineStr">
        <is>
          <t>晨昏</t>
        </is>
      </c>
      <c r="K18" s="23" t="inlineStr">
        <is>
          <t>從遠處走過來</t>
        </is>
      </c>
      <c r="L18" s="23" t="inlineStr">
        <is>
          <t>第三級・其他應予保育</t>
        </is>
      </c>
      <c r="M18" s="23" t="inlineStr">
        <is>
          <t>Plus 會員</t>
        </is>
      </c>
      <c r="N18" s="28" t="n">
        <v>5</v>
      </c>
      <c r="O18" s="23" t="inlineStr">
        <is>
          <t>P2</t>
        </is>
      </c>
      <c r="P18" s="23" t="inlineStr">
        <is>
          <t>hill_partridge-2.png</t>
        </is>
      </c>
      <c r="Q18" s="29" t="inlineStr">
        <is>
          <t>未開始</t>
        </is>
      </c>
      <c r="R18" s="30" t="inlineStr"/>
    </row>
    <row r="19">
      <c r="A19" s="31" t="n">
        <v>14</v>
      </c>
      <c r="B19" s="22" t="inlineStr">
        <is>
          <t>clouded_leopard</t>
        </is>
      </c>
      <c r="C19" s="22" t="inlineStr">
        <is>
          <t>台灣雲豹</t>
        </is>
      </c>
      <c r="D19" s="22" t="inlineStr">
        <is>
          <t>台灣</t>
        </is>
      </c>
      <c r="E19" s="22" t="inlineStr">
        <is>
          <t>貓科</t>
        </is>
      </c>
      <c r="F19" s="31" t="n">
        <v>1</v>
      </c>
      <c r="G19" s="22" t="inlineStr">
        <is>
          <t>只有一種樣式</t>
        </is>
      </c>
      <c r="H19" s="22" t="inlineStr">
        <is>
          <t>雲朵狀大斑塊、長尾、傳說感（可以畫得特別一點，例如淡淡的霧）</t>
        </is>
      </c>
      <c r="I19" s="22" t="inlineStr">
        <is>
          <t>中低海拔森林</t>
        </is>
      </c>
      <c r="J19" s="22" t="inlineStr">
        <is>
          <t>夜晚</t>
        </is>
      </c>
      <c r="K19" s="22" t="inlineStr">
        <is>
          <t>從遠處走過來</t>
        </is>
      </c>
      <c r="L19" s="22" t="inlineStr">
        <is>
          <t>第一級・瀕臨絕種</t>
        </is>
      </c>
      <c r="M19" s="22" t="inlineStr">
        <is>
          <t>Plus 會員</t>
        </is>
      </c>
      <c r="N19" s="31" t="n">
        <v>5</v>
      </c>
      <c r="O19" s="22" t="inlineStr">
        <is>
          <t>P2</t>
        </is>
      </c>
      <c r="P19" s="22" t="inlineStr">
        <is>
          <t>clouded_leopard-2.png</t>
        </is>
      </c>
      <c r="Q19" s="29" t="inlineStr">
        <is>
          <t>未開始</t>
        </is>
      </c>
      <c r="R19" s="30" t="inlineStr">
        <is>
          <t>名錄列第一級；野外可能已滅絕（傳說）</t>
        </is>
      </c>
    </row>
    <row r="20">
      <c r="A20" s="28" t="n">
        <v>15</v>
      </c>
      <c r="B20" s="23" t="inlineStr">
        <is>
          <t>eurasian_otter</t>
        </is>
      </c>
      <c r="C20" s="23" t="inlineStr">
        <is>
          <t>歐亞水獺（金門）</t>
        </is>
      </c>
      <c r="D20" s="23" t="inlineStr">
        <is>
          <t>台灣</t>
        </is>
      </c>
      <c r="E20" s="23" t="inlineStr">
        <is>
          <t>水獺</t>
        </is>
      </c>
      <c r="F20" s="28" t="n">
        <v>1</v>
      </c>
      <c r="G20" s="23" t="inlineStr">
        <is>
          <t>只有一種樣式</t>
        </is>
      </c>
      <c r="H20" s="23" t="inlineStr">
        <is>
          <t>深褐色流線身體、扁頭、粗長的尾巴、蹼足、濕亮的毛（金門）</t>
        </is>
      </c>
      <c r="I20" s="23" t="inlineStr">
        <is>
          <t>溪流</t>
        </is>
      </c>
      <c r="J20" s="23" t="inlineStr">
        <is>
          <t>夜晚</t>
        </is>
      </c>
      <c r="K20" s="23" t="inlineStr">
        <is>
          <t>從遠處走過來（溪邊、湖邊）</t>
        </is>
      </c>
      <c r="L20" s="23" t="inlineStr">
        <is>
          <t>第一級・瀕臨絕種</t>
        </is>
      </c>
      <c r="M20" s="23" t="inlineStr">
        <is>
          <t>待定（新物種）</t>
        </is>
      </c>
      <c r="N20" s="28" t="n">
        <v>6</v>
      </c>
      <c r="O20" s="23" t="inlineStr">
        <is>
          <t>P2</t>
        </is>
      </c>
      <c r="P20" s="23" t="inlineStr">
        <is>
          <t>eurasian_otter-2.png</t>
        </is>
      </c>
      <c r="Q20" s="29" t="inlineStr">
        <is>
          <t>未開始</t>
        </is>
      </c>
      <c r="R20" s="30" t="inlineStr">
        <is>
          <t>新增</t>
        </is>
      </c>
    </row>
    <row r="21">
      <c r="A21" s="31" t="n">
        <v>16</v>
      </c>
      <c r="B21" s="22" t="inlineStr">
        <is>
          <t>formosan_salmon</t>
        </is>
      </c>
      <c r="C21" s="22" t="inlineStr">
        <is>
          <t>櫻花鉤吻鮭</t>
        </is>
      </c>
      <c r="D21" s="22" t="inlineStr">
        <is>
          <t>台灣</t>
        </is>
      </c>
      <c r="E21" s="22" t="inlineStr">
        <is>
          <t>魚</t>
        </is>
      </c>
      <c r="F21" s="31" t="n">
        <v>1</v>
      </c>
      <c r="G21" s="22" t="inlineStr">
        <is>
          <t>只有一種樣式</t>
        </is>
      </c>
      <c r="H21" s="22" t="inlineStr">
        <is>
          <t>銀綠色身體、體側橢圓形雲斑，繁殖期帶粉紅色（七家灣溪）</t>
        </is>
      </c>
      <c r="I21" s="22" t="inlineStr">
        <is>
          <t>溪流水下</t>
        </is>
      </c>
      <c r="J21" s="22" t="inlineStr">
        <is>
          <t>白天</t>
        </is>
      </c>
      <c r="K21" s="22" t="inlineStr">
        <is>
          <t>水裡由遠游近（新出現方式，程式待做）</t>
        </is>
      </c>
      <c r="L21" s="22" t="inlineStr">
        <is>
          <t>第一級・瀕臨絕種</t>
        </is>
      </c>
      <c r="M21" s="22" t="inlineStr">
        <is>
          <t>待定（新物種）</t>
        </is>
      </c>
      <c r="N21" s="31" t="n">
        <v>6</v>
      </c>
      <c r="O21" s="22" t="inlineStr">
        <is>
          <t>P2</t>
        </is>
      </c>
      <c r="P21" s="22" t="inlineStr">
        <is>
          <t>formosan_salmon-2.png</t>
        </is>
      </c>
      <c r="Q21" s="29" t="inlineStr">
        <is>
          <t>未開始</t>
        </is>
      </c>
      <c r="R21" s="30" t="inlineStr">
        <is>
          <t>新增（台灣特有亞種）</t>
        </is>
      </c>
    </row>
    <row r="22">
      <c r="A22" s="28" t="n">
        <v>17</v>
      </c>
      <c r="B22" s="23" t="inlineStr">
        <is>
          <t>green_turtle</t>
        </is>
      </c>
      <c r="C22" s="23" t="inlineStr">
        <is>
          <t>綠蠵龜</t>
        </is>
      </c>
      <c r="D22" s="23" t="inlineStr">
        <is>
          <t>台灣</t>
        </is>
      </c>
      <c r="E22" s="23" t="inlineStr">
        <is>
          <t>海龜</t>
        </is>
      </c>
      <c r="F22" s="28" t="n">
        <v>1</v>
      </c>
      <c r="G22" s="23" t="inlineStr">
        <is>
          <t>只有一種樣式</t>
        </is>
      </c>
      <c r="H22" s="23" t="inlineStr">
        <is>
          <t>橢圓形背甲（橄欖綠帶褐色放射紋）、鰭狀前肢、小頭</t>
        </is>
      </c>
      <c r="I22" s="23" t="inlineStr">
        <is>
          <t>海洋</t>
        </is>
      </c>
      <c r="J22" s="23" t="inlineStr">
        <is>
          <t>白天</t>
        </is>
      </c>
      <c r="K22" s="23" t="inlineStr">
        <is>
          <t>浮出海面換氣，越游越近（新，程式待做）</t>
        </is>
      </c>
      <c r="L22" s="23" t="inlineStr">
        <is>
          <t>第一級・瀕臨絕種</t>
        </is>
      </c>
      <c r="M22" s="23" t="inlineStr">
        <is>
          <t>待定（新物種）</t>
        </is>
      </c>
      <c r="N22" s="28" t="n">
        <v>6</v>
      </c>
      <c r="O22" s="23" t="inlineStr">
        <is>
          <t>P2</t>
        </is>
      </c>
      <c r="P22" s="23" t="inlineStr">
        <is>
          <t>green_turtle-2.png</t>
        </is>
      </c>
      <c r="Q22" s="29" t="inlineStr">
        <is>
          <t>未開始</t>
        </is>
      </c>
      <c r="R22" s="30" t="inlineStr">
        <is>
          <t>新增（海洋保育類）</t>
        </is>
      </c>
    </row>
    <row r="23">
      <c r="A23" s="31" t="n">
        <v>18</v>
      </c>
      <c r="B23" s="22" t="inlineStr">
        <is>
          <t>white_dolphin</t>
        </is>
      </c>
      <c r="C23" s="22" t="inlineStr">
        <is>
          <t>中華白海豚</t>
        </is>
      </c>
      <c r="D23" s="22" t="inlineStr">
        <is>
          <t>台灣</t>
        </is>
      </c>
      <c r="E23" s="22" t="inlineStr">
        <is>
          <t>海豚</t>
        </is>
      </c>
      <c r="F23" s="31" t="n">
        <v>1</v>
      </c>
      <c r="G23" s="22" t="inlineStr">
        <is>
          <t>只有一種樣式</t>
        </is>
      </c>
      <c r="H23" s="22" t="inlineStr">
        <is>
          <t>粉紅帶灰白斑點的身體、細長的嘴、三角形背鰭（台灣西部沿岸）</t>
        </is>
      </c>
      <c r="I23" s="22" t="inlineStr">
        <is>
          <t>海洋</t>
        </is>
      </c>
      <c r="J23" s="22" t="inlineStr">
        <is>
          <t>白天</t>
        </is>
      </c>
      <c r="K23" s="22" t="inlineStr">
        <is>
          <t>遠方躍出海面，越來越近（新，程式待做）</t>
        </is>
      </c>
      <c r="L23" s="22" t="inlineStr">
        <is>
          <t>第一級・瀕臨絕種</t>
        </is>
      </c>
      <c r="M23" s="22" t="inlineStr">
        <is>
          <t>待定（新物種）</t>
        </is>
      </c>
      <c r="N23" s="31" t="n">
        <v>6</v>
      </c>
      <c r="O23" s="22" t="inlineStr">
        <is>
          <t>P2</t>
        </is>
      </c>
      <c r="P23" s="22" t="inlineStr">
        <is>
          <t>white_dolphin-2.png</t>
        </is>
      </c>
      <c r="Q23" s="29" t="inlineStr">
        <is>
          <t>未開始</t>
        </is>
      </c>
      <c r="R23" s="30" t="inlineStr">
        <is>
          <t>新增（海洋保育類，台灣亞種）</t>
        </is>
      </c>
    </row>
    <row r="24">
      <c r="A24" s="28" t="n">
        <v>19</v>
      </c>
      <c r="B24" s="23" t="inlineStr">
        <is>
          <t>broad_tailed_swallowtail</t>
        </is>
      </c>
      <c r="C24" s="23" t="inlineStr">
        <is>
          <t>寬尾鳳蝶</t>
        </is>
      </c>
      <c r="D24" s="23" t="inlineStr">
        <is>
          <t>台灣</t>
        </is>
      </c>
      <c r="E24" s="23" t="inlineStr">
        <is>
          <t>蝴蝶</t>
        </is>
      </c>
      <c r="F24" s="28" t="n">
        <v>1</v>
      </c>
      <c r="G24" s="23" t="inlineStr">
        <is>
          <t>只有一種樣式</t>
        </is>
      </c>
      <c r="H24" s="23" t="inlineStr">
        <is>
          <t>黑色翅膀、後翅有寬大的尾突與紅色斑紋（台灣特有種）</t>
        </is>
      </c>
      <c r="I24" s="23" t="inlineStr">
        <is>
          <t>山地森林</t>
        </is>
      </c>
      <c r="J24" s="23" t="inlineStr">
        <is>
          <t>白天</t>
        </is>
      </c>
      <c r="K24" s="23" t="inlineStr">
        <is>
          <t>飛舞，最後停到花上（新，程式待做）</t>
        </is>
      </c>
      <c r="L24" s="23" t="inlineStr">
        <is>
          <t>第一級・瀕臨絕種</t>
        </is>
      </c>
      <c r="M24" s="23" t="inlineStr">
        <is>
          <t>待定（新物種）</t>
        </is>
      </c>
      <c r="N24" s="28" t="n">
        <v>6</v>
      </c>
      <c r="O24" s="23" t="inlineStr">
        <is>
          <t>P2</t>
        </is>
      </c>
      <c r="P24" s="23" t="inlineStr">
        <is>
          <t>broad_tailed_swallowtail-2.png</t>
        </is>
      </c>
      <c r="Q24" s="29" t="inlineStr">
        <is>
          <t>未開始</t>
        </is>
      </c>
      <c r="R24" s="30" t="inlineStr">
        <is>
          <t>新增（台灣特有種）</t>
        </is>
      </c>
    </row>
    <row r="25">
      <c r="A25" s="31" t="n">
        <v>20</v>
      </c>
      <c r="B25" s="22" t="inlineStr">
        <is>
          <t>farmland_tree_frog</t>
        </is>
      </c>
      <c r="C25" s="22" t="inlineStr">
        <is>
          <t>諸羅樹蛙</t>
        </is>
      </c>
      <c r="D25" s="22" t="inlineStr">
        <is>
          <t>台灣</t>
        </is>
      </c>
      <c r="E25" s="22" t="inlineStr">
        <is>
          <t>蛙</t>
        </is>
      </c>
      <c r="F25" s="31" t="n">
        <v>1</v>
      </c>
      <c r="G25" s="22" t="inlineStr">
        <is>
          <t>只有一種樣式</t>
        </is>
      </c>
      <c r="H25" s="22" t="inlineStr">
        <is>
          <t>翠綠色背部、白色腹部、體側白線、指端吸盤（台灣特有種，雲嘉南平地）</t>
        </is>
      </c>
      <c r="I25" s="22" t="inlineStr">
        <is>
          <t>中低海拔森林</t>
        </is>
      </c>
      <c r="J25" s="22" t="inlineStr">
        <is>
          <t>夜晚</t>
        </is>
      </c>
      <c r="K25" s="22" t="inlineStr">
        <is>
          <t>夜裡先聽到叫聲、看到眼睛（同貓頭鷹）</t>
        </is>
      </c>
      <c r="L25" s="22" t="inlineStr">
        <is>
          <t>第二級・珍貴稀有</t>
        </is>
      </c>
      <c r="M25" s="22" t="inlineStr">
        <is>
          <t>待定（新物種）</t>
        </is>
      </c>
      <c r="N25" s="31" t="n">
        <v>6</v>
      </c>
      <c r="O25" s="22" t="inlineStr">
        <is>
          <t>P2</t>
        </is>
      </c>
      <c r="P25" s="22" t="inlineStr">
        <is>
          <t>farmland_tree_frog-2.png</t>
        </is>
      </c>
      <c r="Q25" s="29" t="inlineStr">
        <is>
          <t>未開始</t>
        </is>
      </c>
      <c r="R25" s="30" t="inlineStr">
        <is>
          <t>新增（台灣特有種）</t>
        </is>
      </c>
    </row>
    <row r="26">
      <c r="A26" s="28" t="n">
        <v>21</v>
      </c>
      <c r="B26" s="23" t="inlineStr">
        <is>
          <t>formosan_flying_fox</t>
        </is>
      </c>
      <c r="C26" s="23" t="inlineStr">
        <is>
          <t>台灣狐蝠</t>
        </is>
      </c>
      <c r="D26" s="23" t="inlineStr">
        <is>
          <t>台灣</t>
        </is>
      </c>
      <c r="E26" s="23" t="inlineStr">
        <is>
          <t>蝙蝠</t>
        </is>
      </c>
      <c r="F26" s="28" t="n">
        <v>1</v>
      </c>
      <c r="G26" s="23" t="inlineStr">
        <is>
          <t>只有一種樣式</t>
        </is>
      </c>
      <c r="H26" s="23" t="inlineStr">
        <is>
          <t>大型蝙蝠、狐狸臉、金褐色頸毛、黑色膜翼（綠島、龜山島）</t>
        </is>
      </c>
      <c r="I26" s="23" t="inlineStr">
        <is>
          <t>南方島嶼</t>
        </is>
      </c>
      <c r="J26" s="23" t="inlineStr">
        <is>
          <t>夜晚</t>
        </is>
      </c>
      <c r="K26" s="23" t="inlineStr">
        <is>
          <t>夜空中飛，最後倒掛在樹枝上（同猛禽盤旋）</t>
        </is>
      </c>
      <c r="L26" s="23" t="inlineStr">
        <is>
          <t>第一級・瀕臨絕種</t>
        </is>
      </c>
      <c r="M26" s="23" t="inlineStr">
        <is>
          <t>待定（新物種）</t>
        </is>
      </c>
      <c r="N26" s="28" t="n">
        <v>6</v>
      </c>
      <c r="O26" s="23" t="inlineStr">
        <is>
          <t>P2</t>
        </is>
      </c>
      <c r="P26" s="23" t="inlineStr">
        <is>
          <t>formosan_flying_fox-2.png</t>
        </is>
      </c>
      <c r="Q26" s="29" t="inlineStr">
        <is>
          <t>未開始</t>
        </is>
      </c>
      <c r="R26" s="30" t="inlineStr">
        <is>
          <t>新增</t>
        </is>
      </c>
    </row>
    <row r="27" ht="22" customHeight="1">
      <c r="A27" s="27" t="inlineStr">
        <is>
          <t>日本（19 種）</t>
        </is>
      </c>
    </row>
    <row r="28">
      <c r="A28" s="28" t="n">
        <v>1</v>
      </c>
      <c r="B28" s="23" t="inlineStr">
        <is>
          <t>iriomote_cat</t>
        </is>
      </c>
      <c r="C28" s="23" t="inlineStr">
        <is>
          <t>西表山貓</t>
        </is>
      </c>
      <c r="D28" s="23" t="inlineStr">
        <is>
          <t>日本</t>
        </is>
      </c>
      <c r="E28" s="23" t="inlineStr">
        <is>
          <t>貓科</t>
        </is>
      </c>
      <c r="F28" s="28" t="n">
        <v>3</v>
      </c>
      <c r="G28" s="23" t="inlineStr">
        <is>
          <t>幼年／亞成年／成年</t>
        </is>
      </c>
      <c r="H28" s="23" t="inlineStr">
        <is>
          <t>深褐色帶斑點、耳背白斑、尾巴較粗短</t>
        </is>
      </c>
      <c r="I28" s="23" t="inlineStr">
        <is>
          <t>南方島嶼</t>
        </is>
      </c>
      <c r="J28" s="23" t="inlineStr">
        <is>
          <t>夜晚</t>
        </is>
      </c>
      <c r="K28" s="23" t="inlineStr">
        <is>
          <t>從遠處走過來</t>
        </is>
      </c>
      <c r="L28" s="23" t="inlineStr">
        <is>
          <t>絕滅危懼 IA 類（CR）｜特別天然紀念物・國內稀少種</t>
        </is>
      </c>
      <c r="M28" s="23" t="inlineStr">
        <is>
          <t>一開始就能找</t>
        </is>
      </c>
      <c r="N28" s="28" t="n">
        <v>3</v>
      </c>
      <c r="O28" s="23" t="inlineStr">
        <is>
          <t>P1</t>
        </is>
      </c>
      <c r="P28" s="23" t="inlineStr">
        <is>
          <t>iriomote_cat-0/1/2.png</t>
        </is>
      </c>
      <c r="Q28" s="29" t="inlineStr">
        <is>
          <t>未開始</t>
        </is>
      </c>
      <c r="R28" s="30" t="inlineStr">
        <is>
          <t>紅色名錄 2020</t>
        </is>
      </c>
    </row>
    <row r="29">
      <c r="A29" s="31" t="n">
        <v>2</v>
      </c>
      <c r="B29" s="22" t="inlineStr">
        <is>
          <t>tsushima_cat</t>
        </is>
      </c>
      <c r="C29" s="22" t="inlineStr">
        <is>
          <t>對馬山貓</t>
        </is>
      </c>
      <c r="D29" s="22" t="inlineStr">
        <is>
          <t>日本</t>
        </is>
      </c>
      <c r="E29" s="22" t="inlineStr">
        <is>
          <t>貓科</t>
        </is>
      </c>
      <c r="F29" s="31" t="n">
        <v>3</v>
      </c>
      <c r="G29" s="22" t="inlineStr">
        <is>
          <t>幼年／亞成年／成年</t>
        </is>
      </c>
      <c r="H29" s="22" t="inlineStr">
        <is>
          <t>對馬的石虎：外型近似石虎、額頭白紋，毛色略深</t>
        </is>
      </c>
      <c r="I29" s="22" t="inlineStr">
        <is>
          <t>里山</t>
        </is>
      </c>
      <c r="J29" s="22" t="inlineStr">
        <is>
          <t>夜晚</t>
        </is>
      </c>
      <c r="K29" s="22" t="inlineStr">
        <is>
          <t>從遠處走過來</t>
        </is>
      </c>
      <c r="L29" s="22" t="inlineStr">
        <is>
          <t>絕滅危懼 IA 類（CR）｜天然紀念物・國內稀少種</t>
        </is>
      </c>
      <c r="M29" s="22" t="inlineStr">
        <is>
          <t>修好「疏伐過密的竹林」</t>
        </is>
      </c>
      <c r="N29" s="31" t="n">
        <v>3</v>
      </c>
      <c r="O29" s="22" t="inlineStr">
        <is>
          <t>P1</t>
        </is>
      </c>
      <c r="P29" s="22" t="inlineStr">
        <is>
          <t>tsushima_cat-0/1/2.png</t>
        </is>
      </c>
      <c r="Q29" s="29" t="inlineStr">
        <is>
          <t>未開始</t>
        </is>
      </c>
      <c r="R29" s="30" t="inlineStr">
        <is>
          <t>紅色名錄 2020</t>
        </is>
      </c>
    </row>
    <row r="30">
      <c r="A30" s="28" t="n">
        <v>3</v>
      </c>
      <c r="B30" s="23" t="inlineStr">
        <is>
          <t>amami_rabbit</t>
        </is>
      </c>
      <c r="C30" s="23" t="inlineStr">
        <is>
          <t>奄美黑兔</t>
        </is>
      </c>
      <c r="D30" s="23" t="inlineStr">
        <is>
          <t>日本</t>
        </is>
      </c>
      <c r="E30" s="23" t="inlineStr">
        <is>
          <t>兔</t>
        </is>
      </c>
      <c r="F30" s="28" t="n">
        <v>1</v>
      </c>
      <c r="G30" s="23" t="inlineStr">
        <is>
          <t>只有一種樣式</t>
        </is>
      </c>
      <c r="H30" s="23" t="inlineStr">
        <is>
          <t>深褐色短毛、耳朵和腳都很短、圓胖身體（奄美大島、德之島特有）</t>
        </is>
      </c>
      <c r="I30" s="23" t="inlineStr">
        <is>
          <t>南方島嶼</t>
        </is>
      </c>
      <c r="J30" s="23" t="inlineStr">
        <is>
          <t>夜晚</t>
        </is>
      </c>
      <c r="K30" s="23" t="inlineStr">
        <is>
          <t>夜裡從遠處跳過來</t>
        </is>
      </c>
      <c r="L30" s="23" t="inlineStr">
        <is>
          <t>絕滅危懼 IB 類（EN）｜特別天然紀念物・國內稀少種</t>
        </is>
      </c>
      <c r="M30" s="23" t="inlineStr">
        <is>
          <t>待定（新物種）</t>
        </is>
      </c>
      <c r="N30" s="28" t="n">
        <v>6</v>
      </c>
      <c r="O30" s="23" t="inlineStr">
        <is>
          <t>P2</t>
        </is>
      </c>
      <c r="P30" s="23" t="inlineStr">
        <is>
          <t>amami_rabbit-2.png</t>
        </is>
      </c>
      <c r="Q30" s="29" t="inlineStr">
        <is>
          <t>未開始</t>
        </is>
      </c>
      <c r="R30" s="30" t="inlineStr">
        <is>
          <t>新增；紅色名錄 2020</t>
        </is>
      </c>
    </row>
    <row r="31">
      <c r="A31" s="31" t="n">
        <v>4</v>
      </c>
      <c r="B31" s="22" t="inlineStr">
        <is>
          <t>japanese_serow</t>
        </is>
      </c>
      <c r="C31" s="22" t="inlineStr">
        <is>
          <t>日本鬣羚</t>
        </is>
      </c>
      <c r="D31" s="22" t="inlineStr">
        <is>
          <t>日本</t>
        </is>
      </c>
      <c r="E31" s="22" t="inlineStr">
        <is>
          <t>山羊</t>
        </is>
      </c>
      <c r="F31" s="31" t="n">
        <v>3</v>
      </c>
      <c r="G31" s="22" t="inlineStr">
        <is>
          <t>幼年／亞成年／成年</t>
        </is>
      </c>
      <c r="H31" s="22" t="inlineStr">
        <is>
          <t>灰黑色、頸部有鬃毛、短角、常站在岩石上</t>
        </is>
      </c>
      <c r="I31" s="22" t="inlineStr">
        <is>
          <t>山地森林</t>
        </is>
      </c>
      <c r="J31" s="22" t="inlineStr">
        <is>
          <t>晨昏</t>
        </is>
      </c>
      <c r="K31" s="22" t="inlineStr">
        <is>
          <t>從遠處走過來</t>
        </is>
      </c>
      <c r="L31" s="22" t="inlineStr">
        <is>
          <t>紅色名錄未列｜特別天然紀念物</t>
        </is>
      </c>
      <c r="M31" s="22" t="inlineStr">
        <is>
          <t>修好「清出杉林小徑」</t>
        </is>
      </c>
      <c r="N31" s="31" t="n">
        <v>3</v>
      </c>
      <c r="O31" s="22" t="inlineStr">
        <is>
          <t>P1</t>
        </is>
      </c>
      <c r="P31" s="22" t="inlineStr">
        <is>
          <t>japanese_serow-0/1/2.png</t>
        </is>
      </c>
      <c r="Q31" s="29" t="inlineStr">
        <is>
          <t>未開始</t>
        </is>
      </c>
      <c r="R31" s="30" t="inlineStr">
        <is>
          <t>全國未列入紅色名錄，但是代表性的特別天然紀念物</t>
        </is>
      </c>
    </row>
    <row r="32">
      <c r="A32" s="28" t="n">
        <v>5</v>
      </c>
      <c r="B32" s="23" t="inlineStr">
        <is>
          <t>bonin_flying_fox</t>
        </is>
      </c>
      <c r="C32" s="23" t="inlineStr">
        <is>
          <t>小笠原狐蝠</t>
        </is>
      </c>
      <c r="D32" s="23" t="inlineStr">
        <is>
          <t>日本</t>
        </is>
      </c>
      <c r="E32" s="23" t="inlineStr">
        <is>
          <t>蝙蝠</t>
        </is>
      </c>
      <c r="F32" s="28" t="n">
        <v>1</v>
      </c>
      <c r="G32" s="23" t="inlineStr">
        <is>
          <t>只有一種樣式</t>
        </is>
      </c>
      <c r="H32" s="23" t="inlineStr">
        <is>
          <t>大型蝙蝠、全身深褐、頸部帶銀灰色毛、黑色膜翼（小笠原特有）</t>
        </is>
      </c>
      <c r="I32" s="23" t="inlineStr">
        <is>
          <t>南方島嶼</t>
        </is>
      </c>
      <c r="J32" s="23" t="inlineStr">
        <is>
          <t>夜晚</t>
        </is>
      </c>
      <c r="K32" s="23" t="inlineStr">
        <is>
          <t>夜空中飛，最後倒掛在樹枝上（同猛禽盤旋）</t>
        </is>
      </c>
      <c r="L32" s="23" t="inlineStr">
        <is>
          <t>絕滅危懼 IA 類（CR）｜天然紀念物・國內稀少種</t>
        </is>
      </c>
      <c r="M32" s="23" t="inlineStr">
        <is>
          <t>待定（新物種）</t>
        </is>
      </c>
      <c r="N32" s="28" t="n">
        <v>6</v>
      </c>
      <c r="O32" s="23" t="inlineStr">
        <is>
          <t>P2</t>
        </is>
      </c>
      <c r="P32" s="23" t="inlineStr">
        <is>
          <t>bonin_flying_fox-2.png</t>
        </is>
      </c>
      <c r="Q32" s="29" t="inlineStr">
        <is>
          <t>未開始</t>
        </is>
      </c>
      <c r="R32" s="30" t="inlineStr">
        <is>
          <t>新增；紅色名錄 2020</t>
        </is>
      </c>
    </row>
    <row r="33">
      <c r="A33" s="31" t="n">
        <v>6</v>
      </c>
      <c r="B33" s="22" t="inlineStr">
        <is>
          <t>toki</t>
        </is>
      </c>
      <c r="C33" s="22" t="inlineStr">
        <is>
          <t>朱鷺</t>
        </is>
      </c>
      <c r="D33" s="22" t="inlineStr">
        <is>
          <t>日本</t>
        </is>
      </c>
      <c r="E33" s="22" t="inlineStr">
        <is>
          <t>涉禽</t>
        </is>
      </c>
      <c r="F33" s="31" t="n">
        <v>1</v>
      </c>
      <c r="G33" s="22" t="inlineStr">
        <is>
          <t>只有一種樣式</t>
        </is>
      </c>
      <c r="H33" s="22" t="inlineStr">
        <is>
          <t>白中帶淡粉紅（朱鷺色）的羽毛、紅色臉部裸皮、黑色下彎長嘴、後腦冠羽</t>
        </is>
      </c>
      <c r="I33" s="22" t="inlineStr">
        <is>
          <t>里山</t>
        </is>
      </c>
      <c r="J33" s="22" t="inlineStr">
        <is>
          <t>白天</t>
        </is>
      </c>
      <c r="K33" s="22" t="inlineStr">
        <is>
          <t>從遠處涉水走過來</t>
        </is>
      </c>
      <c r="L33" s="22" t="inlineStr">
        <is>
          <t>絕滅危懼 IB 類（EN）｜特別天然紀念物・國內稀少種</t>
        </is>
      </c>
      <c r="M33" s="22" t="inlineStr">
        <is>
          <t>待定（新物種）</t>
        </is>
      </c>
      <c r="N33" s="31" t="n">
        <v>6</v>
      </c>
      <c r="O33" s="22" t="inlineStr">
        <is>
          <t>P2</t>
        </is>
      </c>
      <c r="P33" s="22" t="inlineStr">
        <is>
          <t>toki-2.png</t>
        </is>
      </c>
      <c r="Q33" s="29" t="inlineStr">
        <is>
          <t>未開始</t>
        </is>
      </c>
      <c r="R33" s="30" t="inlineStr">
        <is>
          <t>新增；第 5 次從 CR 降為 EN（佐渡野生約 576 隻）</t>
        </is>
      </c>
    </row>
    <row r="34">
      <c r="A34" s="28" t="n">
        <v>7</v>
      </c>
      <c r="B34" s="23" t="inlineStr">
        <is>
          <t>red_crowned_crane</t>
        </is>
      </c>
      <c r="C34" s="23" t="inlineStr">
        <is>
          <t>丹頂鶴</t>
        </is>
      </c>
      <c r="D34" s="23" t="inlineStr">
        <is>
          <t>日本</t>
        </is>
      </c>
      <c r="E34" s="23" t="inlineStr">
        <is>
          <t>涉禽</t>
        </is>
      </c>
      <c r="F34" s="28" t="n">
        <v>1</v>
      </c>
      <c r="G34" s="23" t="inlineStr">
        <is>
          <t>只有一種樣式</t>
        </is>
      </c>
      <c r="H34" s="23" t="inlineStr">
        <is>
          <t>白色身體、頭頂紅色、黑色頸部與次級飛羽、長腳（北海道釧路濕原）</t>
        </is>
      </c>
      <c r="I34" s="23" t="inlineStr">
        <is>
          <t>濕地河口</t>
        </is>
      </c>
      <c r="J34" s="23" t="inlineStr">
        <is>
          <t>白天</t>
        </is>
      </c>
      <c r="K34" s="23" t="inlineStr">
        <is>
          <t>從遠處涉水走過來</t>
        </is>
      </c>
      <c r="L34" s="23" t="inlineStr">
        <is>
          <t>準絕滅危懼（NT）｜特別天然紀念物・國內稀少種</t>
        </is>
      </c>
      <c r="M34" s="23" t="inlineStr">
        <is>
          <t>待定（新物種）</t>
        </is>
      </c>
      <c r="N34" s="28" t="n">
        <v>6</v>
      </c>
      <c r="O34" s="23" t="inlineStr">
        <is>
          <t>P2</t>
        </is>
      </c>
      <c r="P34" s="23" t="inlineStr">
        <is>
          <t>red_crowned_crane-2.png</t>
        </is>
      </c>
      <c r="Q34" s="29" t="inlineStr">
        <is>
          <t>未開始</t>
        </is>
      </c>
      <c r="R34" s="30" t="inlineStr">
        <is>
          <t>新增；第 5 次從 VU 降為 NT（已不算瀕危）</t>
        </is>
      </c>
    </row>
    <row r="35">
      <c r="A35" s="31" t="n">
        <v>8</v>
      </c>
      <c r="B35" s="22" t="inlineStr">
        <is>
          <t>oriental_stork</t>
        </is>
      </c>
      <c r="C35" s="22" t="inlineStr">
        <is>
          <t>東方白鸛</t>
        </is>
      </c>
      <c r="D35" s="22" t="inlineStr">
        <is>
          <t>日本</t>
        </is>
      </c>
      <c r="E35" s="22" t="inlineStr">
        <is>
          <t>涉禽</t>
        </is>
      </c>
      <c r="F35" s="31" t="n">
        <v>1</v>
      </c>
      <c r="G35" s="22" t="inlineStr">
        <is>
          <t>只有一種樣式</t>
        </is>
      </c>
      <c r="H35" s="22" t="inlineStr">
        <is>
          <t>白色身體、黑色飛羽、粗長的黑嘴、紅色眼周與腳（兵庫豐岡）</t>
        </is>
      </c>
      <c r="I35" s="22" t="inlineStr">
        <is>
          <t>里山</t>
        </is>
      </c>
      <c r="J35" s="22" t="inlineStr">
        <is>
          <t>白天</t>
        </is>
      </c>
      <c r="K35" s="22" t="inlineStr">
        <is>
          <t>從遠處涉水走過來</t>
        </is>
      </c>
      <c r="L35" s="22" t="inlineStr">
        <is>
          <t>絕滅危懼 IB 類（EN）｜特別天然紀念物・國內稀少種</t>
        </is>
      </c>
      <c r="M35" s="22" t="inlineStr">
        <is>
          <t>待定（新物種）</t>
        </is>
      </c>
      <c r="N35" s="31" t="n">
        <v>6</v>
      </c>
      <c r="O35" s="22" t="inlineStr">
        <is>
          <t>P2</t>
        </is>
      </c>
      <c r="P35" s="22" t="inlineStr">
        <is>
          <t>oriental_stork-2.png</t>
        </is>
      </c>
      <c r="Q35" s="29" t="inlineStr">
        <is>
          <t>未開始</t>
        </is>
      </c>
      <c r="R35" s="30" t="inlineStr">
        <is>
          <t>新增；第 5 次從 CR 降為 EN</t>
        </is>
      </c>
    </row>
    <row r="36">
      <c r="A36" s="28" t="n">
        <v>9</v>
      </c>
      <c r="B36" s="23" t="inlineStr">
        <is>
          <t>okinawa_rail</t>
        </is>
      </c>
      <c r="C36" s="23" t="inlineStr">
        <is>
          <t>山原秧雞</t>
        </is>
      </c>
      <c r="D36" s="23" t="inlineStr">
        <is>
          <t>日本</t>
        </is>
      </c>
      <c r="E36" s="23" t="inlineStr">
        <is>
          <t>雉雞</t>
        </is>
      </c>
      <c r="F36" s="28" t="n">
        <v>1</v>
      </c>
      <c r="G36" s="23" t="inlineStr">
        <is>
          <t>只有一種樣式</t>
        </is>
      </c>
      <c r="H36" s="23" t="inlineStr">
        <is>
          <t>橄欖褐色背部、黑白橫紋的腹部、紅色的嘴和腳、不會飛</t>
        </is>
      </c>
      <c r="I36" s="23" t="inlineStr">
        <is>
          <t>南方島嶼</t>
        </is>
      </c>
      <c r="J36" s="23" t="inlineStr">
        <is>
          <t>晨昏</t>
        </is>
      </c>
      <c r="K36" s="23" t="inlineStr">
        <is>
          <t>從遠處走過來</t>
        </is>
      </c>
      <c r="L36" s="23" t="inlineStr">
        <is>
          <t>絕滅危懼 IA 類（CR）｜天然紀念物・國內稀少種</t>
        </is>
      </c>
      <c r="M36" s="23" t="inlineStr">
        <is>
          <t>待定（新物種）</t>
        </is>
      </c>
      <c r="N36" s="28" t="n">
        <v>6</v>
      </c>
      <c r="O36" s="23" t="inlineStr">
        <is>
          <t>P2</t>
        </is>
      </c>
      <c r="P36" s="23" t="inlineStr">
        <is>
          <t>okinawa_rail-2.png</t>
        </is>
      </c>
      <c r="Q36" s="29" t="inlineStr">
        <is>
          <t>未開始</t>
        </is>
      </c>
      <c r="R36" s="30" t="inlineStr">
        <is>
          <t>新增；沖繩北部特有、不會飛</t>
        </is>
      </c>
    </row>
    <row r="37">
      <c r="A37" s="31" t="n">
        <v>10</v>
      </c>
      <c r="B37" s="22" t="inlineStr">
        <is>
          <t>okinawa_woodpecker</t>
        </is>
      </c>
      <c r="C37" s="22" t="inlineStr">
        <is>
          <t>野口啄木鳥</t>
        </is>
      </c>
      <c r="D37" s="22" t="inlineStr">
        <is>
          <t>日本</t>
        </is>
      </c>
      <c r="E37" s="22" t="inlineStr">
        <is>
          <t>鳥</t>
        </is>
      </c>
      <c r="F37" s="31" t="n">
        <v>3</v>
      </c>
      <c r="G37" s="22" t="inlineStr">
        <is>
          <t>雛鳥／幼鳥／成鳥</t>
        </is>
      </c>
      <c r="H37" s="22" t="inlineStr">
        <is>
          <t>全身深紅褐色、頭頂紅色（雄鳥）、啄木鳥姿態</t>
        </is>
      </c>
      <c r="I37" s="22" t="inlineStr">
        <is>
          <t>南方島嶼</t>
        </is>
      </c>
      <c r="J37" s="22" t="inlineStr">
        <is>
          <t>白天</t>
        </is>
      </c>
      <c r="K37" s="22" t="inlineStr">
        <is>
          <t>遠處飛 → 停到倒木上</t>
        </is>
      </c>
      <c r="L37" s="22" t="inlineStr">
        <is>
          <t>絕滅危懼 IB 類（EN）｜特別天然紀念物・國內稀少種</t>
        </is>
      </c>
      <c r="M37" s="22" t="inlineStr">
        <is>
          <t>一開始就能找</t>
        </is>
      </c>
      <c r="N37" s="31" t="n">
        <v>3</v>
      </c>
      <c r="O37" s="22" t="inlineStr">
        <is>
          <t>P1</t>
        </is>
      </c>
      <c r="P37" s="22" t="inlineStr">
        <is>
          <t>okinawa_woodpecker-0/1/2.png</t>
        </is>
      </c>
      <c r="Q37" s="29" t="inlineStr">
        <is>
          <t>未開始</t>
        </is>
      </c>
      <c r="R37" s="30" t="inlineStr">
        <is>
          <t>第 5 次從 CR 降為 EN</t>
        </is>
      </c>
    </row>
    <row r="38">
      <c r="A38" s="28" t="n">
        <v>11</v>
      </c>
      <c r="B38" s="23" t="inlineStr">
        <is>
          <t>ptarmigan</t>
        </is>
      </c>
      <c r="C38" s="23" t="inlineStr">
        <is>
          <t>雷鳥</t>
        </is>
      </c>
      <c r="D38" s="23" t="inlineStr">
        <is>
          <t>日本</t>
        </is>
      </c>
      <c r="E38" s="23" t="inlineStr">
        <is>
          <t>雉雞</t>
        </is>
      </c>
      <c r="F38" s="28" t="n">
        <v>3</v>
      </c>
      <c r="G38" s="23" t="inlineStr">
        <is>
          <t>雛鳥／幼鳥／成鳥</t>
        </is>
      </c>
      <c r="H38" s="23" t="inlineStr">
        <is>
          <t>夏羽褐色斑駁、眼上紅色肉冠、腳有羽毛（冬羽全白可之後再做）</t>
        </is>
      </c>
      <c r="I38" s="23" t="inlineStr">
        <is>
          <t>高山</t>
        </is>
      </c>
      <c r="J38" s="23" t="inlineStr">
        <is>
          <t>白天</t>
        </is>
      </c>
      <c r="K38" s="23" t="inlineStr">
        <is>
          <t>從遠處走過來</t>
        </is>
      </c>
      <c r="L38" s="23" t="inlineStr">
        <is>
          <t>絕滅危懼 IB 類（EN）｜特別天然紀念物・國內稀少種</t>
        </is>
      </c>
      <c r="M38" s="23" t="inlineStr">
        <is>
          <t>修好「復原里山梯田」</t>
        </is>
      </c>
      <c r="N38" s="28" t="n">
        <v>3</v>
      </c>
      <c r="O38" s="23" t="inlineStr">
        <is>
          <t>P1</t>
        </is>
      </c>
      <c r="P38" s="23" t="inlineStr">
        <is>
          <t>ptarmigan-0/1/2.png</t>
        </is>
      </c>
      <c r="Q38" s="29" t="inlineStr">
        <is>
          <t>未開始</t>
        </is>
      </c>
      <c r="R38" s="30" t="inlineStr"/>
    </row>
    <row r="39">
      <c r="A39" s="31" t="n">
        <v>12</v>
      </c>
      <c r="B39" s="22" t="inlineStr">
        <is>
          <t>blakiston_owl</t>
        </is>
      </c>
      <c r="C39" s="22" t="inlineStr">
        <is>
          <t>毛腿魚鴞</t>
        </is>
      </c>
      <c r="D39" s="22" t="inlineStr">
        <is>
          <t>日本</t>
        </is>
      </c>
      <c r="E39" s="22" t="inlineStr">
        <is>
          <t>貓頭鷹</t>
        </is>
      </c>
      <c r="F39" s="31" t="n">
        <v>3</v>
      </c>
      <c r="G39" s="22" t="inlineStr">
        <is>
          <t>雛鳥／幼鳥／成鳥</t>
        </is>
      </c>
      <c r="H39" s="22" t="inlineStr">
        <is>
          <t>世界最大的貓頭鷹之一、褐色斑紋、寬大耳羽、黃眼</t>
        </is>
      </c>
      <c r="I39" s="22" t="inlineStr">
        <is>
          <t>溪流</t>
        </is>
      </c>
      <c r="J39" s="22" t="inlineStr">
        <is>
          <t>夜晚</t>
        </is>
      </c>
      <c r="K39" s="22" t="inlineStr">
        <is>
          <t>夜裡先亮眼睛 → 停到倒木上</t>
        </is>
      </c>
      <c r="L39" s="22" t="inlineStr">
        <is>
          <t>絕滅危懼 IB 類（EN）｜天然紀念物・國內稀少種</t>
        </is>
      </c>
      <c r="M39" s="22" t="inlineStr">
        <is>
          <t>修好「修好山中小屋」</t>
        </is>
      </c>
      <c r="N39" s="31" t="n">
        <v>3</v>
      </c>
      <c r="O39" s="22" t="inlineStr">
        <is>
          <t>P1</t>
        </is>
      </c>
      <c r="P39" s="22" t="inlineStr">
        <is>
          <t>blakiston_owl-0/1/2.png</t>
        </is>
      </c>
      <c r="Q39" s="29" t="inlineStr">
        <is>
          <t>未開始</t>
        </is>
      </c>
      <c r="R39" s="30" t="inlineStr">
        <is>
          <t>第 5 次從 CR 降為 EN</t>
        </is>
      </c>
    </row>
    <row r="40">
      <c r="A40" s="28" t="n">
        <v>13</v>
      </c>
      <c r="B40" s="23" t="inlineStr">
        <is>
          <t>steller_eagle</t>
        </is>
      </c>
      <c r="C40" s="23" t="inlineStr">
        <is>
          <t>虎頭海鵰</t>
        </is>
      </c>
      <c r="D40" s="23" t="inlineStr">
        <is>
          <t>日本</t>
        </is>
      </c>
      <c r="E40" s="23" t="inlineStr">
        <is>
          <t>猛禽</t>
        </is>
      </c>
      <c r="F40" s="28" t="n">
        <v>3</v>
      </c>
      <c r="G40" s="23" t="inlineStr">
        <is>
          <t>雛鳥／幼鳥／成鳥</t>
        </is>
      </c>
      <c r="H40" s="23" t="inlineStr">
        <is>
          <t>巨大的橘黃色嘴、深褐色身體、白色肩羽與白尾</t>
        </is>
      </c>
      <c r="I40" s="23" t="inlineStr">
        <is>
          <t>溪流</t>
        </is>
      </c>
      <c r="J40" s="23" t="inlineStr">
        <is>
          <t>白天</t>
        </is>
      </c>
      <c r="K40" s="23" t="inlineStr">
        <is>
          <t>天空盤旋 → 降落</t>
        </is>
      </c>
      <c r="L40" s="23" t="inlineStr">
        <is>
          <t>絕滅危懼 II 類（VU）｜天然紀念物・國內稀少種</t>
        </is>
      </c>
      <c r="M40" s="23" t="inlineStr">
        <is>
          <t>修好「恢復清澈溪流」</t>
        </is>
      </c>
      <c r="N40" s="28" t="n">
        <v>3</v>
      </c>
      <c r="O40" s="23" t="inlineStr">
        <is>
          <t>P1</t>
        </is>
      </c>
      <c r="P40" s="23" t="inlineStr">
        <is>
          <t>steller_eagle-0/1/2.png</t>
        </is>
      </c>
      <c r="Q40" s="29" t="inlineStr">
        <is>
          <t>未開始</t>
        </is>
      </c>
      <c r="R40" s="30" t="inlineStr"/>
    </row>
    <row r="41">
      <c r="A41" s="31" t="n">
        <v>14</v>
      </c>
      <c r="B41" s="22" t="inlineStr">
        <is>
          <t>golden_eagle</t>
        </is>
      </c>
      <c r="C41" s="22" t="inlineStr">
        <is>
          <t>金鵰</t>
        </is>
      </c>
      <c r="D41" s="22" t="inlineStr">
        <is>
          <t>日本</t>
        </is>
      </c>
      <c r="E41" s="22" t="inlineStr">
        <is>
          <t>猛禽</t>
        </is>
      </c>
      <c r="F41" s="31" t="n">
        <v>1</v>
      </c>
      <c r="G41" s="22" t="inlineStr">
        <is>
          <t>只有一種樣式</t>
        </is>
      </c>
      <c r="H41" s="22" t="inlineStr">
        <is>
          <t>大型深褐色猛禽、後頸金黃色、腳有羽毛</t>
        </is>
      </c>
      <c r="I41" s="22" t="inlineStr">
        <is>
          <t>高山</t>
        </is>
      </c>
      <c r="J41" s="22" t="inlineStr">
        <is>
          <t>白天</t>
        </is>
      </c>
      <c r="K41" s="22" t="inlineStr">
        <is>
          <t>天空盤旋 → 降落</t>
        </is>
      </c>
      <c r="L41" s="22" t="inlineStr">
        <is>
          <t>絕滅危懼 IB 類（EN）｜天然紀念物・國內稀少種</t>
        </is>
      </c>
      <c r="M41" s="22" t="inlineStr">
        <is>
          <t>待定（新物種）</t>
        </is>
      </c>
      <c r="N41" s="31" t="n">
        <v>6</v>
      </c>
      <c r="O41" s="22" t="inlineStr">
        <is>
          <t>P2</t>
        </is>
      </c>
      <c r="P41" s="22" t="inlineStr">
        <is>
          <t>golden_eagle-2.png</t>
        </is>
      </c>
      <c r="Q41" s="29" t="inlineStr">
        <is>
          <t>未開始</t>
        </is>
      </c>
      <c r="R41" s="30" t="inlineStr">
        <is>
          <t>新增</t>
        </is>
      </c>
    </row>
    <row r="42">
      <c r="A42" s="28" t="n">
        <v>15</v>
      </c>
      <c r="B42" s="23" t="inlineStr">
        <is>
          <t>short_tailed_albatross</t>
        </is>
      </c>
      <c r="C42" s="23" t="inlineStr">
        <is>
          <t>短尾信天翁</t>
        </is>
      </c>
      <c r="D42" s="23" t="inlineStr">
        <is>
          <t>日本</t>
        </is>
      </c>
      <c r="E42" s="23" t="inlineStr">
        <is>
          <t>海鳥</t>
        </is>
      </c>
      <c r="F42" s="28" t="n">
        <v>1</v>
      </c>
      <c r="G42" s="23" t="inlineStr">
        <is>
          <t>只有一種樣式</t>
        </is>
      </c>
      <c r="H42" s="23" t="inlineStr">
        <is>
          <t>白色身體、頭頸黃色、粉紅色大嘴、長而窄的翅膀</t>
        </is>
      </c>
      <c r="I42" s="23" t="inlineStr">
        <is>
          <t>海洋</t>
        </is>
      </c>
      <c r="J42" s="23" t="inlineStr">
        <is>
          <t>白天</t>
        </is>
      </c>
      <c r="K42" s="23" t="inlineStr">
        <is>
          <t>海面上空滑翔 → 降落（同猛禽盤旋）</t>
        </is>
      </c>
      <c r="L42" s="23" t="inlineStr">
        <is>
          <t>絕滅危懼 II 類（VU）｜特別天然紀念物・國內稀少種</t>
        </is>
      </c>
      <c r="M42" s="23" t="inlineStr">
        <is>
          <t>待定（新物種）</t>
        </is>
      </c>
      <c r="N42" s="28" t="n">
        <v>6</v>
      </c>
      <c r="O42" s="23" t="inlineStr">
        <is>
          <t>P2</t>
        </is>
      </c>
      <c r="P42" s="23" t="inlineStr">
        <is>
          <t>short_tailed_albatross-2.png</t>
        </is>
      </c>
      <c r="Q42" s="29" t="inlineStr">
        <is>
          <t>未開始</t>
        </is>
      </c>
      <c r="R42" s="30" t="inlineStr">
        <is>
          <t>新增；鳥島、尖閣繁殖</t>
        </is>
      </c>
    </row>
    <row r="43">
      <c r="A43" s="31" t="n">
        <v>16</v>
      </c>
      <c r="B43" s="22" t="inlineStr">
        <is>
          <t>giant_salamander</t>
        </is>
      </c>
      <c r="C43" s="22" t="inlineStr">
        <is>
          <t>日本大山椒魚</t>
        </is>
      </c>
      <c r="D43" s="22" t="inlineStr">
        <is>
          <t>日本</t>
        </is>
      </c>
      <c r="E43" s="22" t="inlineStr">
        <is>
          <t>山椒魚</t>
        </is>
      </c>
      <c r="F43" s="31" t="n">
        <v>1</v>
      </c>
      <c r="G43" s="22" t="inlineStr">
        <is>
          <t>只有一種樣式</t>
        </is>
      </c>
      <c r="H43" s="22" t="inlineStr">
        <is>
          <t>扁平的頭、小眼睛、褐色帶深色斑的皺褶皮膚、粗短四肢（可長到 1 公尺以上）</t>
        </is>
      </c>
      <c r="I43" s="22" t="inlineStr">
        <is>
          <t>溪流</t>
        </is>
      </c>
      <c r="J43" s="22" t="inlineStr">
        <is>
          <t>夜晚</t>
        </is>
      </c>
      <c r="K43" s="22" t="inlineStr">
        <is>
          <t>夜裡在溪底慢慢爬近（新，程式待做）</t>
        </is>
      </c>
      <c r="L43" s="22" t="inlineStr">
        <is>
          <t>絕滅危懼 II 類（VU）｜特別天然紀念物</t>
        </is>
      </c>
      <c r="M43" s="22" t="inlineStr">
        <is>
          <t>待定（新物種）</t>
        </is>
      </c>
      <c r="N43" s="31" t="n">
        <v>6</v>
      </c>
      <c r="O43" s="22" t="inlineStr">
        <is>
          <t>P2</t>
        </is>
      </c>
      <c r="P43" s="22" t="inlineStr">
        <is>
          <t>giant_salamander-2.png</t>
        </is>
      </c>
      <c r="Q43" s="29" t="inlineStr">
        <is>
          <t>未開始</t>
        </is>
      </c>
      <c r="R43" s="30" t="inlineStr">
        <is>
          <t>新增；世界最大的兩生類之一</t>
        </is>
      </c>
    </row>
    <row r="44">
      <c r="A44" s="28" t="n">
        <v>17</v>
      </c>
      <c r="B44" s="23" t="inlineStr">
        <is>
          <t>ishikawa_frog</t>
        </is>
      </c>
      <c r="C44" s="23" t="inlineStr">
        <is>
          <t>沖繩石川蛙</t>
        </is>
      </c>
      <c r="D44" s="23" t="inlineStr">
        <is>
          <t>日本</t>
        </is>
      </c>
      <c r="E44" s="23" t="inlineStr">
        <is>
          <t>蛙</t>
        </is>
      </c>
      <c r="F44" s="28" t="n">
        <v>1</v>
      </c>
      <c r="G44" s="23" t="inlineStr">
        <is>
          <t>只有一種樣式</t>
        </is>
      </c>
      <c r="H44" s="23" t="inlineStr">
        <is>
          <t>綠底帶金色與黑色斑點的背部、指端吸盤（沖繩北部溪流）</t>
        </is>
      </c>
      <c r="I44" s="23" t="inlineStr">
        <is>
          <t>南方島嶼</t>
        </is>
      </c>
      <c r="J44" s="23" t="inlineStr">
        <is>
          <t>夜晚</t>
        </is>
      </c>
      <c r="K44" s="23" t="inlineStr">
        <is>
          <t>夜裡先聽到叫聲、看到眼睛（同貓頭鷹）</t>
        </is>
      </c>
      <c r="L44" s="23" t="inlineStr">
        <is>
          <t>絕滅危懼 IB 類（EN）｜國內稀少種（沖繩縣天然紀念物）</t>
        </is>
      </c>
      <c r="M44" s="23" t="inlineStr">
        <is>
          <t>待定（新物種）</t>
        </is>
      </c>
      <c r="N44" s="28" t="n">
        <v>6</v>
      </c>
      <c r="O44" s="23" t="inlineStr">
        <is>
          <t>P2</t>
        </is>
      </c>
      <c r="P44" s="23" t="inlineStr">
        <is>
          <t>ishikawa_frog-2.png</t>
        </is>
      </c>
      <c r="Q44" s="29" t="inlineStr">
        <is>
          <t>未開始</t>
        </is>
      </c>
      <c r="R44" s="30" t="inlineStr">
        <is>
          <t>新增；被稱為日本最美的蛙</t>
        </is>
      </c>
    </row>
    <row r="45">
      <c r="A45" s="31" t="n">
        <v>18</v>
      </c>
      <c r="B45" s="22" t="inlineStr">
        <is>
          <t>loggerhead</t>
        </is>
      </c>
      <c r="C45" s="22" t="inlineStr">
        <is>
          <t>赤蠵龜</t>
        </is>
      </c>
      <c r="D45" s="22" t="inlineStr">
        <is>
          <t>日本</t>
        </is>
      </c>
      <c r="E45" s="22" t="inlineStr">
        <is>
          <t>海龜</t>
        </is>
      </c>
      <c r="F45" s="31" t="n">
        <v>1</v>
      </c>
      <c r="G45" s="22" t="inlineStr">
        <is>
          <t>只有一種樣式</t>
        </is>
      </c>
      <c r="H45" s="22" t="inlineStr">
        <is>
          <t>紅褐色心形背甲、大頭、鰭狀前肢</t>
        </is>
      </c>
      <c r="I45" s="22" t="inlineStr">
        <is>
          <t>海洋</t>
        </is>
      </c>
      <c r="J45" s="22" t="inlineStr">
        <is>
          <t>白天</t>
        </is>
      </c>
      <c r="K45" s="22" t="inlineStr">
        <is>
          <t>浮出海面換氣，越游越近（新，程式待做）</t>
        </is>
      </c>
      <c r="L45" s="22" t="inlineStr">
        <is>
          <t>絕滅危懼 IB 類（EN）</t>
        </is>
      </c>
      <c r="M45" s="22" t="inlineStr">
        <is>
          <t>待定（新物種）</t>
        </is>
      </c>
      <c r="N45" s="31" t="n">
        <v>6</v>
      </c>
      <c r="O45" s="22" t="inlineStr">
        <is>
          <t>P2</t>
        </is>
      </c>
      <c r="P45" s="22" t="inlineStr">
        <is>
          <t>loggerhead-2.png</t>
        </is>
      </c>
      <c r="Q45" s="29" t="inlineStr">
        <is>
          <t>未開始</t>
        </is>
      </c>
      <c r="R45" s="30" t="inlineStr">
        <is>
          <t>新增；日本是北太平洋主要產卵地</t>
        </is>
      </c>
    </row>
    <row r="46">
      <c r="A46" s="28" t="n">
        <v>19</v>
      </c>
      <c r="B46" s="23" t="inlineStr">
        <is>
          <t>sakhalin_taimen</t>
        </is>
      </c>
      <c r="C46" s="23" t="inlineStr">
        <is>
          <t>哲羅魚（伊富魚）</t>
        </is>
      </c>
      <c r="D46" s="23" t="inlineStr">
        <is>
          <t>日本</t>
        </is>
      </c>
      <c r="E46" s="23" t="inlineStr">
        <is>
          <t>魚</t>
        </is>
      </c>
      <c r="F46" s="28" t="n">
        <v>1</v>
      </c>
      <c r="G46" s="23" t="inlineStr">
        <is>
          <t>只有一種樣式</t>
        </is>
      </c>
      <c r="H46" s="23" t="inlineStr">
        <is>
          <t>細長的銀褐色身體、扁平的大頭、體側小黑點，繁殖期偏紅</t>
        </is>
      </c>
      <c r="I46" s="23" t="inlineStr">
        <is>
          <t>溪流水下</t>
        </is>
      </c>
      <c r="J46" s="23" t="inlineStr">
        <is>
          <t>白天</t>
        </is>
      </c>
      <c r="K46" s="23" t="inlineStr">
        <is>
          <t>水裡由遠游近（新出現方式，程式待做）</t>
        </is>
      </c>
      <c r="L46" s="23" t="inlineStr">
        <is>
          <t>絕滅危懼 IB 類（EN）</t>
        </is>
      </c>
      <c r="M46" s="23" t="inlineStr">
        <is>
          <t>待定（新物種）</t>
        </is>
      </c>
      <c r="N46" s="28" t="n">
        <v>6</v>
      </c>
      <c r="O46" s="23" t="inlineStr">
        <is>
          <t>P2</t>
        </is>
      </c>
      <c r="P46" s="23" t="inlineStr">
        <is>
          <t>sakhalin_taimen-2.png</t>
        </is>
      </c>
      <c r="Q46" s="29" t="inlineStr">
        <is>
          <t>未開始</t>
        </is>
      </c>
      <c r="R46" s="30" t="inlineStr">
        <is>
          <t>新增；北海道「夢幻之魚」；紅色名錄 2020</t>
        </is>
      </c>
    </row>
  </sheetData>
  <autoFilter ref="A4:R46"/>
  <mergeCells count="3">
    <mergeCell ref="A27:R27"/>
    <mergeCell ref="A2:R2"/>
    <mergeCell ref="A5:R5"/>
  </mergeCells>
  <dataValidations count="1">
    <dataValidation sqref="Q5:Q304" showDropDown="0" showInputMessage="0" showErrorMessage="0" allowBlank="1" errorTitle="狀態" error="請從清單選一個狀態" type="list">
      <formula1>"未開始,製作中,待驗收,已完成,暫代,選配"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4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12" customWidth="1" min="3" max="3"/>
    <col width="8" customWidth="1" min="4" max="4"/>
    <col width="10" customWidth="1" min="5" max="5"/>
    <col width="40" customWidth="1" min="6" max="6"/>
    <col width="16" customWidth="1" min="7" max="7"/>
    <col width="50" customWidth="1" min="8" max="8"/>
    <col width="12" customWidth="1" min="9" max="9"/>
    <col width="8" customWidth="1" min="10" max="10"/>
    <col width="7" customWidth="1" min="11" max="11"/>
    <col width="9" customWidth="1" min="12" max="12"/>
    <col width="44" customWidth="1" min="13" max="13"/>
  </cols>
  <sheetData>
    <row r="1">
      <c r="A1" s="21" t="inlineStr">
        <is>
          <t>B. 動物動態（分層部件＋網格骨架）</t>
        </is>
      </c>
    </row>
    <row r="2" ht="32" customHeight="1">
      <c r="A2" s="2" t="inlineStr">
        <is>
          <t>規範：docs/規格-動物動態網格.md（不用 Rive／Spine）。每個成長階段各一套部件；同體型共用骨架與動作（見 B-1）。流程：主圖 → 剝層圖（GPT 一次只改一處）→ 切部件 → 網格與權重 → 半尺寸離線檢查 → A8s 實機檢查 → 輸出。</t>
        </is>
      </c>
    </row>
    <row r="4" ht="30" customHeight="1">
      <c r="A4" s="3" t="inlineStr">
        <is>
          <t>編號</t>
        </is>
      </c>
      <c r="B4" s="3" t="inlineStr">
        <is>
          <t>代號</t>
        </is>
      </c>
      <c r="C4" s="3" t="inlineStr">
        <is>
          <t>名稱</t>
        </is>
      </c>
      <c r="D4" s="3" t="inlineStr">
        <is>
          <t>體型</t>
        </is>
      </c>
      <c r="E4" s="3" t="inlineStr">
        <is>
          <t>套數（成長階段）</t>
        </is>
      </c>
      <c r="F4" s="3" t="inlineStr">
        <is>
          <t>剝層圖（每套）</t>
        </is>
      </c>
      <c r="G4" s="3" t="inlineStr">
        <is>
          <t>額外姿勢</t>
        </is>
      </c>
      <c r="H4" s="3" t="inlineStr">
        <is>
          <t>動作</t>
        </is>
      </c>
      <c r="I4" s="3" t="inlineStr">
        <is>
          <t>容量目標（每套）</t>
        </is>
      </c>
      <c r="J4" s="3" t="inlineStr">
        <is>
          <t>交圖批次</t>
        </is>
      </c>
      <c r="K4" s="3" t="inlineStr">
        <is>
          <t>優先度</t>
        </is>
      </c>
      <c r="L4" s="3" t="inlineStr">
        <is>
          <t>狀態</t>
        </is>
      </c>
      <c r="M4" s="3" t="inlineStr">
        <is>
          <t>備註</t>
        </is>
      </c>
    </row>
    <row r="5" ht="22" customHeight="1">
      <c r="A5" s="27" t="inlineStr">
        <is>
          <t>台灣（21 種）</t>
        </is>
      </c>
    </row>
    <row r="6">
      <c r="A6" s="28" t="n">
        <v>1</v>
      </c>
      <c r="B6" s="23" t="inlineStr">
        <is>
          <t>black_bear</t>
        </is>
      </c>
      <c r="C6" s="23" t="inlineStr">
        <is>
          <t>台灣黑熊</t>
        </is>
      </c>
      <c r="D6" s="23" t="inlineStr">
        <is>
          <t>熊</t>
        </is>
      </c>
      <c r="E6" s="28" t="n">
        <v>3</v>
      </c>
      <c r="F6" s="23" t="inlineStr">
        <is>
          <t>同貓科</t>
        </is>
      </c>
      <c r="G6" s="23" t="inlineStr">
        <is>
          <t>—</t>
        </is>
      </c>
      <c r="H6" s="23" t="inlineStr">
        <is>
          <t>待機、張望、低頭聞、坐下、走路</t>
        </is>
      </c>
      <c r="I6" s="23" t="inlineStr">
        <is>
          <t>≤ 120 KB</t>
        </is>
      </c>
      <c r="J6" s="28" t="n">
        <v>2</v>
      </c>
      <c r="K6" s="23" t="inlineStr">
        <is>
          <t>P0</t>
        </is>
      </c>
      <c r="L6" s="29" t="inlineStr">
        <is>
          <t>未開始</t>
        </is>
      </c>
      <c r="M6" s="30" t="inlineStr"/>
    </row>
    <row r="7">
      <c r="A7" s="31" t="n">
        <v>2</v>
      </c>
      <c r="B7" s="22" t="inlineStr">
        <is>
          <t>leopard_cat</t>
        </is>
      </c>
      <c r="C7" s="22" t="inlineStr">
        <is>
          <t>石虎</t>
        </is>
      </c>
      <c r="D7" s="22" t="inlineStr">
        <is>
          <t>貓科</t>
        </is>
      </c>
      <c r="E7" s="31" t="n">
        <v>3</v>
      </c>
      <c r="F7" s="22" t="inlineStr">
        <is>
          <t>E1 拿掉近側兩條腿；E3 拿掉頭；E4 拿掉兩隻耳朵；E5 閉眼；E7 頭轉向鏡頭</t>
        </is>
      </c>
      <c r="G7" s="22" t="inlineStr">
        <is>
          <t>—</t>
        </is>
      </c>
      <c r="H7" s="22" t="inlineStr">
        <is>
          <t>待機呼吸、張望、低頭聞、甩尾、耳朵抖、眨眼、張嘴、走路（定格每秒 8 格）</t>
        </is>
      </c>
      <c r="I7" s="22" t="inlineStr">
        <is>
          <t>≤ 120 KB</t>
        </is>
      </c>
      <c r="J7" s="31" t="n">
        <v>1</v>
      </c>
      <c r="K7" s="22" t="inlineStr">
        <is>
          <t>P0</t>
        </is>
      </c>
      <c r="L7" s="32" t="inlineStr">
        <is>
          <t>製作中</t>
        </is>
      </c>
      <c r="M7" s="30" t="inlineStr">
        <is>
          <t>成年完成；目前未壓縮 460 KB 要壓到 ≤120 KB；後腿之間一小撮淺色未解；幼年、亞成年未做</t>
        </is>
      </c>
    </row>
    <row r="8">
      <c r="A8" s="28" t="n">
        <v>3</v>
      </c>
      <c r="B8" s="23" t="inlineStr">
        <is>
          <t>pangolin</t>
        </is>
      </c>
      <c r="C8" s="23" t="inlineStr">
        <is>
          <t>穿山甲</t>
        </is>
      </c>
      <c r="D8" s="23" t="inlineStr">
        <is>
          <t>穿山甲</t>
        </is>
      </c>
      <c r="E8" s="28" t="n">
        <v>3</v>
      </c>
      <c r="F8" s="23" t="inlineStr">
        <is>
          <t>同貓科</t>
        </is>
      </c>
      <c r="G8" s="23" t="inlineStr">
        <is>
          <t>—</t>
        </is>
      </c>
      <c r="H8" s="23" t="inlineStr">
        <is>
          <t>待機、低頭聞、甩尾、走路（選配：捲成球）</t>
        </is>
      </c>
      <c r="I8" s="23" t="inlineStr">
        <is>
          <t>≤ 120 KB</t>
        </is>
      </c>
      <c r="J8" s="28" t="n">
        <v>1</v>
      </c>
      <c r="K8" s="23" t="inlineStr">
        <is>
          <t>P0</t>
        </is>
      </c>
      <c r="L8" s="29" t="inlineStr">
        <is>
          <t>未開始</t>
        </is>
      </c>
      <c r="M8" s="30" t="inlineStr"/>
    </row>
    <row r="9">
      <c r="A9" s="31" t="n">
        <v>4</v>
      </c>
      <c r="B9" s="22" t="inlineStr">
        <is>
          <t>blue_magpie</t>
        </is>
      </c>
      <c r="C9" s="22" t="inlineStr">
        <is>
          <t>台灣藍鵲</t>
        </is>
      </c>
      <c r="D9" s="22" t="inlineStr">
        <is>
          <t>鳥</t>
        </is>
      </c>
      <c r="E9" s="31" t="n">
        <v>3</v>
      </c>
      <c r="F9" s="22" t="inlineStr">
        <is>
          <t>拿掉近側翅膀；拿掉頭；閉眼；拿掉近側腳；頭轉向鏡頭</t>
        </is>
      </c>
      <c r="G9" s="22" t="inlineStr">
        <is>
          <t>飛行姿勢 1 張</t>
        </is>
      </c>
      <c r="H9" s="22" t="inlineStr">
        <is>
          <t>待機、跳兩步、低頭啄、理羽毛、歪頭、眨眼、拍翅；另需「飛行姿勢」1 張</t>
        </is>
      </c>
      <c r="I9" s="22" t="inlineStr">
        <is>
          <t>≤ 120 KB</t>
        </is>
      </c>
      <c r="J9" s="31" t="n">
        <v>1</v>
      </c>
      <c r="K9" s="22" t="inlineStr">
        <is>
          <t>P0</t>
        </is>
      </c>
      <c r="L9" s="29" t="inlineStr">
        <is>
          <t>未開始</t>
        </is>
      </c>
      <c r="M9" s="30" t="inlineStr"/>
    </row>
    <row r="10">
      <c r="A10" s="28" t="n">
        <v>5</v>
      </c>
      <c r="B10" s="23" t="inlineStr">
        <is>
          <t>pitta</t>
        </is>
      </c>
      <c r="C10" s="23" t="inlineStr">
        <is>
          <t>八色鳥</t>
        </is>
      </c>
      <c r="D10" s="23" t="inlineStr">
        <is>
          <t>鳥</t>
        </is>
      </c>
      <c r="E10" s="28" t="n">
        <v>3</v>
      </c>
      <c r="F10" s="23" t="inlineStr">
        <is>
          <t>拿掉近側翅膀；拿掉頭；閉眼；拿掉近側腳；頭轉向鏡頭</t>
        </is>
      </c>
      <c r="G10" s="23" t="inlineStr">
        <is>
          <t>飛行姿勢 1 張</t>
        </is>
      </c>
      <c r="H10" s="23" t="inlineStr">
        <is>
          <t>待機、跳兩步、低頭啄、理羽毛、歪頭、眨眼、拍翅；另需「飛行姿勢」1 張</t>
        </is>
      </c>
      <c r="I10" s="23" t="inlineStr">
        <is>
          <t>≤ 120 KB</t>
        </is>
      </c>
      <c r="J10" s="28" t="n">
        <v>1</v>
      </c>
      <c r="K10" s="23" t="inlineStr">
        <is>
          <t>P0</t>
        </is>
      </c>
      <c r="L10" s="29" t="inlineStr">
        <is>
          <t>未開始</t>
        </is>
      </c>
      <c r="M10" s="30" t="inlineStr"/>
    </row>
    <row r="11">
      <c r="A11" s="31" t="n">
        <v>6</v>
      </c>
      <c r="B11" s="22" t="inlineStr">
        <is>
          <t>mikado_pheasant</t>
        </is>
      </c>
      <c r="C11" s="22" t="inlineStr">
        <is>
          <t>帝雉</t>
        </is>
      </c>
      <c r="D11" s="22" t="inlineStr">
        <is>
          <t>雉雞</t>
        </is>
      </c>
      <c r="E11" s="31" t="n">
        <v>1</v>
      </c>
      <c r="F11" s="22" t="inlineStr">
        <is>
          <t>同鳥</t>
        </is>
      </c>
      <c r="G11" s="22" t="inlineStr">
        <is>
          <t>—</t>
        </is>
      </c>
      <c r="H11" s="22" t="inlineStr">
        <is>
          <t>待機、走路、低頭啄、抬頭張望、眨眼</t>
        </is>
      </c>
      <c r="I11" s="22" t="inlineStr">
        <is>
          <t>≤ 120 KB</t>
        </is>
      </c>
      <c r="J11" s="31" t="n">
        <v>4</v>
      </c>
      <c r="K11" s="22" t="inlineStr">
        <is>
          <t>P1</t>
        </is>
      </c>
      <c r="L11" s="29" t="inlineStr">
        <is>
          <t>未開始</t>
        </is>
      </c>
      <c r="M11" s="30" t="inlineStr"/>
    </row>
    <row r="12">
      <c r="A12" s="28" t="n">
        <v>7</v>
      </c>
      <c r="B12" s="23" t="inlineStr">
        <is>
          <t>swinhoe_pheasant</t>
        </is>
      </c>
      <c r="C12" s="23" t="inlineStr">
        <is>
          <t>藍腹鷴</t>
        </is>
      </c>
      <c r="D12" s="23" t="inlineStr">
        <is>
          <t>雉雞</t>
        </is>
      </c>
      <c r="E12" s="28" t="n">
        <v>3</v>
      </c>
      <c r="F12" s="23" t="inlineStr">
        <is>
          <t>同鳥</t>
        </is>
      </c>
      <c r="G12" s="23" t="inlineStr">
        <is>
          <t>—</t>
        </is>
      </c>
      <c r="H12" s="23" t="inlineStr">
        <is>
          <t>待機、走路、低頭啄、抬頭張望、眨眼</t>
        </is>
      </c>
      <c r="I12" s="23" t="inlineStr">
        <is>
          <t>≤ 120 KB</t>
        </is>
      </c>
      <c r="J12" s="28" t="n">
        <v>2</v>
      </c>
      <c r="K12" s="23" t="inlineStr">
        <is>
          <t>P0</t>
        </is>
      </c>
      <c r="L12" s="29" t="inlineStr">
        <is>
          <t>未開始</t>
        </is>
      </c>
      <c r="M12" s="30" t="inlineStr"/>
    </row>
    <row r="13">
      <c r="A13" s="31" t="n">
        <v>8</v>
      </c>
      <c r="B13" s="22" t="inlineStr">
        <is>
          <t>marten</t>
        </is>
      </c>
      <c r="C13" s="22" t="inlineStr">
        <is>
          <t>黃喉貂</t>
        </is>
      </c>
      <c r="D13" s="22" t="inlineStr">
        <is>
          <t>貂、獴</t>
        </is>
      </c>
      <c r="E13" s="31" t="n">
        <v>3</v>
      </c>
      <c r="F13" s="22" t="inlineStr">
        <is>
          <t>同貓科</t>
        </is>
      </c>
      <c r="G13" s="22" t="inlineStr">
        <is>
          <t>—</t>
        </is>
      </c>
      <c r="H13" s="22" t="inlineStr">
        <is>
          <t>待機、站起來張望、低頭聞、甩尾、走路</t>
        </is>
      </c>
      <c r="I13" s="22" t="inlineStr">
        <is>
          <t>≤ 120 KB</t>
        </is>
      </c>
      <c r="J13" s="31" t="n">
        <v>2</v>
      </c>
      <c r="K13" s="22" t="inlineStr">
        <is>
          <t>P0</t>
        </is>
      </c>
      <c r="L13" s="29" t="inlineStr">
        <is>
          <t>未開始</t>
        </is>
      </c>
      <c r="M13" s="30" t="inlineStr"/>
    </row>
    <row r="14">
      <c r="A14" s="28" t="n">
        <v>9</v>
      </c>
      <c r="B14" s="23" t="inlineStr">
        <is>
          <t>hawk_eagle</t>
        </is>
      </c>
      <c r="C14" s="23" t="inlineStr">
        <is>
          <t>熊鷹</t>
        </is>
      </c>
      <c r="D14" s="23" t="inlineStr">
        <is>
          <t>猛禽</t>
        </is>
      </c>
      <c r="E14" s="28" t="n">
        <v>3</v>
      </c>
      <c r="F14" s="23" t="inlineStr">
        <is>
          <t>同鳥</t>
        </is>
      </c>
      <c r="G14" s="23" t="inlineStr">
        <is>
          <t>展翅盤旋 1 張</t>
        </is>
      </c>
      <c r="H14" s="23" t="inlineStr">
        <is>
          <t>待機、張望、展翅；另需「飛行姿勢（展翅盤旋）」1 張</t>
        </is>
      </c>
      <c r="I14" s="23" t="inlineStr">
        <is>
          <t>≤ 120 KB</t>
        </is>
      </c>
      <c r="J14" s="28" t="n">
        <v>2</v>
      </c>
      <c r="K14" s="23" t="inlineStr">
        <is>
          <t>P0</t>
        </is>
      </c>
      <c r="L14" s="29" t="inlineStr">
        <is>
          <t>未開始</t>
        </is>
      </c>
      <c r="M14" s="30" t="inlineStr"/>
    </row>
    <row r="15">
      <c r="A15" s="31" t="n">
        <v>10</v>
      </c>
      <c r="B15" s="22" t="inlineStr">
        <is>
          <t>fish_owl</t>
        </is>
      </c>
      <c r="C15" s="22" t="inlineStr">
        <is>
          <t>黃魚鴞</t>
        </is>
      </c>
      <c r="D15" s="22" t="inlineStr">
        <is>
          <t>貓頭鷹</t>
        </is>
      </c>
      <c r="E15" s="31" t="n">
        <v>1</v>
      </c>
      <c r="F15" s="22" t="inlineStr">
        <is>
          <t>拿掉頭；閉眼；拿掉耳羽；頭轉向鏡頭</t>
        </is>
      </c>
      <c r="G15" s="22" t="inlineStr">
        <is>
          <t>—</t>
        </is>
      </c>
      <c r="H15" s="22" t="inlineStr">
        <is>
          <t>待機、大角度轉頭、眨眼、縮成一團（發光眼睛由程式畫）</t>
        </is>
      </c>
      <c r="I15" s="22" t="inlineStr">
        <is>
          <t>≤ 120 KB</t>
        </is>
      </c>
      <c r="J15" s="31" t="n">
        <v>4</v>
      </c>
      <c r="K15" s="22" t="inlineStr">
        <is>
          <t>P1</t>
        </is>
      </c>
      <c r="L15" s="29" t="inlineStr">
        <is>
          <t>未開始</t>
        </is>
      </c>
      <c r="M15" s="30" t="inlineStr"/>
    </row>
    <row r="16">
      <c r="A16" s="28" t="n">
        <v>11</v>
      </c>
      <c r="B16" s="23" t="inlineStr">
        <is>
          <t>black_faced_spoonbill</t>
        </is>
      </c>
      <c r="C16" s="23" t="inlineStr">
        <is>
          <t>黑面琵鷺</t>
        </is>
      </c>
      <c r="D16" s="23" t="inlineStr">
        <is>
          <t>涉禽</t>
        </is>
      </c>
      <c r="E16" s="28" t="n">
        <v>1</v>
      </c>
      <c r="F16" s="23" t="inlineStr">
        <is>
          <t>同鳥</t>
        </is>
      </c>
      <c r="G16" s="23" t="inlineStr">
        <is>
          <t>飛行姿勢 1 張（選配）</t>
        </is>
      </c>
      <c r="H16" s="23" t="inlineStr">
        <is>
          <t>待機、涉水走、低頭左右掃嘴覓食、理羽毛</t>
        </is>
      </c>
      <c r="I16" s="23" t="inlineStr">
        <is>
          <t>≤ 120 KB</t>
        </is>
      </c>
      <c r="J16" s="28" t="n">
        <v>6</v>
      </c>
      <c r="K16" s="23" t="inlineStr">
        <is>
          <t>P2</t>
        </is>
      </c>
      <c r="L16" s="29" t="inlineStr">
        <is>
          <t>未開始</t>
        </is>
      </c>
      <c r="M16" s="30" t="inlineStr"/>
    </row>
    <row r="17">
      <c r="A17" s="31" t="n">
        <v>12</v>
      </c>
      <c r="B17" s="22" t="inlineStr">
        <is>
          <t>yellow_tit</t>
        </is>
      </c>
      <c r="C17" s="22" t="inlineStr">
        <is>
          <t>黃山雀</t>
        </is>
      </c>
      <c r="D17" s="22" t="inlineStr">
        <is>
          <t>鳥</t>
        </is>
      </c>
      <c r="E17" s="31" t="n">
        <v>1</v>
      </c>
      <c r="F17" s="22" t="inlineStr">
        <is>
          <t>拿掉近側翅膀；拿掉頭；閉眼；拿掉近側腳；頭轉向鏡頭</t>
        </is>
      </c>
      <c r="G17" s="22" t="inlineStr">
        <is>
          <t>飛行姿勢 1 張</t>
        </is>
      </c>
      <c r="H17" s="22" t="inlineStr">
        <is>
          <t>待機、跳兩步、低頭啄、理羽毛、歪頭、眨眼、拍翅；另需「飛行姿勢」1 張</t>
        </is>
      </c>
      <c r="I17" s="22" t="inlineStr">
        <is>
          <t>≤ 120 KB</t>
        </is>
      </c>
      <c r="J17" s="31" t="n">
        <v>4</v>
      </c>
      <c r="K17" s="22" t="inlineStr">
        <is>
          <t>P1</t>
        </is>
      </c>
      <c r="L17" s="29" t="inlineStr">
        <is>
          <t>未開始</t>
        </is>
      </c>
      <c r="M17" s="30" t="inlineStr"/>
    </row>
    <row r="18">
      <c r="A18" s="28" t="n">
        <v>13</v>
      </c>
      <c r="B18" s="23" t="inlineStr">
        <is>
          <t>hill_partridge</t>
        </is>
      </c>
      <c r="C18" s="23" t="inlineStr">
        <is>
          <t>台灣山鷓鴣</t>
        </is>
      </c>
      <c r="D18" s="23" t="inlineStr">
        <is>
          <t>雉雞</t>
        </is>
      </c>
      <c r="E18" s="28" t="n">
        <v>1</v>
      </c>
      <c r="F18" s="23" t="inlineStr">
        <is>
          <t>同鳥</t>
        </is>
      </c>
      <c r="G18" s="23" t="inlineStr">
        <is>
          <t>—</t>
        </is>
      </c>
      <c r="H18" s="23" t="inlineStr">
        <is>
          <t>待機、走路、低頭啄、抬頭張望、眨眼</t>
        </is>
      </c>
      <c r="I18" s="23" t="inlineStr">
        <is>
          <t>≤ 120 KB</t>
        </is>
      </c>
      <c r="J18" s="28" t="n">
        <v>5</v>
      </c>
      <c r="K18" s="23" t="inlineStr">
        <is>
          <t>P2</t>
        </is>
      </c>
      <c r="L18" s="29" t="inlineStr">
        <is>
          <t>未開始</t>
        </is>
      </c>
      <c r="M18" s="30" t="inlineStr"/>
    </row>
    <row r="19">
      <c r="A19" s="31" t="n">
        <v>14</v>
      </c>
      <c r="B19" s="22" t="inlineStr">
        <is>
          <t>clouded_leopard</t>
        </is>
      </c>
      <c r="C19" s="22" t="inlineStr">
        <is>
          <t>台灣雲豹</t>
        </is>
      </c>
      <c r="D19" s="22" t="inlineStr">
        <is>
          <t>貓科</t>
        </is>
      </c>
      <c r="E19" s="31" t="n">
        <v>1</v>
      </c>
      <c r="F19" s="22" t="inlineStr">
        <is>
          <t>E1 拿掉近側兩條腿；E3 拿掉頭；E4 拿掉兩隻耳朵；E5 閉眼；E7 頭轉向鏡頭</t>
        </is>
      </c>
      <c r="G19" s="22" t="inlineStr">
        <is>
          <t>—</t>
        </is>
      </c>
      <c r="H19" s="22" t="inlineStr">
        <is>
          <t>待機呼吸、張望、低頭聞、甩尾、耳朵抖、眨眼、張嘴、走路（定格每秒 8 格）</t>
        </is>
      </c>
      <c r="I19" s="22" t="inlineStr">
        <is>
          <t>≤ 120 KB</t>
        </is>
      </c>
      <c r="J19" s="31" t="n">
        <v>5</v>
      </c>
      <c r="K19" s="22" t="inlineStr">
        <is>
          <t>P2</t>
        </is>
      </c>
      <c r="L19" s="29" t="inlineStr">
        <is>
          <t>未開始</t>
        </is>
      </c>
      <c r="M19" s="30" t="inlineStr"/>
    </row>
    <row r="20">
      <c r="A20" s="28" t="n">
        <v>15</v>
      </c>
      <c r="B20" s="23" t="inlineStr">
        <is>
          <t>eurasian_otter</t>
        </is>
      </c>
      <c r="C20" s="23" t="inlineStr">
        <is>
          <t>歐亞水獺（金門）</t>
        </is>
      </c>
      <c r="D20" s="23" t="inlineStr">
        <is>
          <t>水獺</t>
        </is>
      </c>
      <c r="E20" s="28" t="n">
        <v>1</v>
      </c>
      <c r="F20" s="23" t="inlineStr">
        <is>
          <t>同貓科</t>
        </is>
      </c>
      <c r="G20" s="23" t="inlineStr">
        <is>
          <t>游泳姿勢 1 張</t>
        </is>
      </c>
      <c r="H20" s="23" t="inlineStr">
        <is>
          <t>待機、站起來張望、走路、游泳（另畫游泳姿勢）</t>
        </is>
      </c>
      <c r="I20" s="23" t="inlineStr">
        <is>
          <t>≤ 120 KB</t>
        </is>
      </c>
      <c r="J20" s="28" t="n">
        <v>6</v>
      </c>
      <c r="K20" s="23" t="inlineStr">
        <is>
          <t>P2</t>
        </is>
      </c>
      <c r="L20" s="29" t="inlineStr">
        <is>
          <t>未開始</t>
        </is>
      </c>
      <c r="M20" s="30" t="inlineStr"/>
    </row>
    <row r="21">
      <c r="A21" s="31" t="n">
        <v>16</v>
      </c>
      <c r="B21" s="22" t="inlineStr">
        <is>
          <t>formosan_salmon</t>
        </is>
      </c>
      <c r="C21" s="22" t="inlineStr">
        <is>
          <t>櫻花鉤吻鮭</t>
        </is>
      </c>
      <c r="D21" s="22" t="inlineStr">
        <is>
          <t>魚</t>
        </is>
      </c>
      <c r="E21" s="31" t="n">
        <v>1</v>
      </c>
      <c r="F21" s="22" t="inlineStr">
        <is>
          <t>拿掉胸鰭</t>
        </is>
      </c>
      <c r="G21" s="22" t="inlineStr">
        <is>
          <t>—</t>
        </is>
      </c>
      <c r="H21" s="22" t="inlineStr">
        <is>
          <t>游動擺尾、停在水中、轉向</t>
        </is>
      </c>
      <c r="I21" s="22" t="inlineStr">
        <is>
          <t>≤ 120 KB</t>
        </is>
      </c>
      <c r="J21" s="31" t="n">
        <v>6</v>
      </c>
      <c r="K21" s="22" t="inlineStr">
        <is>
          <t>P2</t>
        </is>
      </c>
      <c r="L21" s="29" t="inlineStr">
        <is>
          <t>未開始</t>
        </is>
      </c>
      <c r="M21" s="30" t="inlineStr"/>
    </row>
    <row r="22">
      <c r="A22" s="28" t="n">
        <v>17</v>
      </c>
      <c r="B22" s="23" t="inlineStr">
        <is>
          <t>green_turtle</t>
        </is>
      </c>
      <c r="C22" s="23" t="inlineStr">
        <is>
          <t>綠蠵龜</t>
        </is>
      </c>
      <c r="D22" s="23" t="inlineStr">
        <is>
          <t>海龜</t>
        </is>
      </c>
      <c r="E22" s="28" t="n">
        <v>1</v>
      </c>
      <c r="F22" s="23" t="inlineStr">
        <is>
          <t>拿掉近側前鰭；頭轉向鏡頭</t>
        </is>
      </c>
      <c r="G22" s="23" t="inlineStr">
        <is>
          <t>—</t>
        </is>
      </c>
      <c r="H22" s="23" t="inlineStr">
        <is>
          <t>划水、浮上換氣、轉頭</t>
        </is>
      </c>
      <c r="I22" s="23" t="inlineStr">
        <is>
          <t>≤ 120 KB</t>
        </is>
      </c>
      <c r="J22" s="28" t="n">
        <v>6</v>
      </c>
      <c r="K22" s="23" t="inlineStr">
        <is>
          <t>P2</t>
        </is>
      </c>
      <c r="L22" s="29" t="inlineStr">
        <is>
          <t>未開始</t>
        </is>
      </c>
      <c r="M22" s="30" t="inlineStr"/>
    </row>
    <row r="23">
      <c r="A23" s="31" t="n">
        <v>18</v>
      </c>
      <c r="B23" s="22" t="inlineStr">
        <is>
          <t>white_dolphin</t>
        </is>
      </c>
      <c r="C23" s="22" t="inlineStr">
        <is>
          <t>中華白海豚</t>
        </is>
      </c>
      <c r="D23" s="22" t="inlineStr">
        <is>
          <t>海豚</t>
        </is>
      </c>
      <c r="E23" s="31" t="n">
        <v>1</v>
      </c>
      <c r="F23" s="22" t="inlineStr">
        <is>
          <t>拿掉胸鰭；頭轉向鏡頭</t>
        </is>
      </c>
      <c r="G23" s="22" t="inlineStr">
        <is>
          <t>躍出水面 1 張</t>
        </is>
      </c>
      <c r="H23" s="22" t="inlineStr">
        <is>
          <t>游、躍出水面、噴氣</t>
        </is>
      </c>
      <c r="I23" s="22" t="inlineStr">
        <is>
          <t>≤ 120 KB</t>
        </is>
      </c>
      <c r="J23" s="31" t="n">
        <v>6</v>
      </c>
      <c r="K23" s="22" t="inlineStr">
        <is>
          <t>P2</t>
        </is>
      </c>
      <c r="L23" s="29" t="inlineStr">
        <is>
          <t>未開始</t>
        </is>
      </c>
      <c r="M23" s="30" t="inlineStr"/>
    </row>
    <row r="24">
      <c r="A24" s="28" t="n">
        <v>19</v>
      </c>
      <c r="B24" s="23" t="inlineStr">
        <is>
          <t>broad_tailed_swallowtail</t>
        </is>
      </c>
      <c r="C24" s="23" t="inlineStr">
        <is>
          <t>寬尾鳳蝶</t>
        </is>
      </c>
      <c r="D24" s="23" t="inlineStr">
        <is>
          <t>蝴蝶</t>
        </is>
      </c>
      <c r="E24" s="28" t="n">
        <v>1</v>
      </c>
      <c r="F24" s="23" t="inlineStr">
        <is>
          <t>—（另畫停棲姿勢）</t>
        </is>
      </c>
      <c r="G24" s="23" t="inlineStr">
        <is>
          <t>停棲（翅膀合起）1 張</t>
        </is>
      </c>
      <c r="H24" s="23" t="inlineStr">
        <is>
          <t>拍翅飛舞、停在花上翅膀開合</t>
        </is>
      </c>
      <c r="I24" s="23" t="inlineStr">
        <is>
          <t>≤ 120 KB</t>
        </is>
      </c>
      <c r="J24" s="28" t="n">
        <v>6</v>
      </c>
      <c r="K24" s="23" t="inlineStr">
        <is>
          <t>P2</t>
        </is>
      </c>
      <c r="L24" s="29" t="inlineStr">
        <is>
          <t>未開始</t>
        </is>
      </c>
      <c r="M24" s="30" t="inlineStr"/>
    </row>
    <row r="25">
      <c r="A25" s="31" t="n">
        <v>20</v>
      </c>
      <c r="B25" s="22" t="inlineStr">
        <is>
          <t>farmland_tree_frog</t>
        </is>
      </c>
      <c r="C25" s="22" t="inlineStr">
        <is>
          <t>諸羅樹蛙</t>
        </is>
      </c>
      <c r="D25" s="22" t="inlineStr">
        <is>
          <t>蛙</t>
        </is>
      </c>
      <c r="E25" s="31" t="n">
        <v>1</v>
      </c>
      <c r="F25" s="22" t="inlineStr">
        <is>
          <t>拿掉近側後腳；閉眼；頭轉向鏡頭</t>
        </is>
      </c>
      <c r="G25" s="22" t="inlineStr">
        <is>
          <t>—</t>
        </is>
      </c>
      <c r="H25" s="22" t="inlineStr">
        <is>
          <t>待機、鼓鳴囊（叫）、跳、眨眼</t>
        </is>
      </c>
      <c r="I25" s="22" t="inlineStr">
        <is>
          <t>≤ 120 KB</t>
        </is>
      </c>
      <c r="J25" s="31" t="n">
        <v>6</v>
      </c>
      <c r="K25" s="22" t="inlineStr">
        <is>
          <t>P2</t>
        </is>
      </c>
      <c r="L25" s="29" t="inlineStr">
        <is>
          <t>未開始</t>
        </is>
      </c>
      <c r="M25" s="30" t="inlineStr"/>
    </row>
    <row r="26">
      <c r="A26" s="28" t="n">
        <v>21</v>
      </c>
      <c r="B26" s="23" t="inlineStr">
        <is>
          <t>formosan_flying_fox</t>
        </is>
      </c>
      <c r="C26" s="23" t="inlineStr">
        <is>
          <t>台灣狐蝠</t>
        </is>
      </c>
      <c r="D26" s="23" t="inlineStr">
        <is>
          <t>蝙蝠</t>
        </is>
      </c>
      <c r="E26" s="28" t="n">
        <v>1</v>
      </c>
      <c r="F26" s="23" t="inlineStr">
        <is>
          <t>頭轉向鏡頭（另畫倒掛、飛行姿勢）</t>
        </is>
      </c>
      <c r="G26" s="23" t="inlineStr">
        <is>
          <t>飛行（展翼）、倒掛各 1 張</t>
        </is>
      </c>
      <c r="H26" s="23" t="inlineStr">
        <is>
          <t>飛行拍翼、倒掛時收翼、轉頭</t>
        </is>
      </c>
      <c r="I26" s="23" t="inlineStr">
        <is>
          <t>≤ 120 KB</t>
        </is>
      </c>
      <c r="J26" s="28" t="n">
        <v>6</v>
      </c>
      <c r="K26" s="23" t="inlineStr">
        <is>
          <t>P2</t>
        </is>
      </c>
      <c r="L26" s="29" t="inlineStr">
        <is>
          <t>未開始</t>
        </is>
      </c>
      <c r="M26" s="30" t="inlineStr"/>
    </row>
    <row r="27" ht="22" customHeight="1">
      <c r="A27" s="27" t="inlineStr">
        <is>
          <t>日本（19 種）</t>
        </is>
      </c>
    </row>
    <row r="28">
      <c r="A28" s="28" t="n">
        <v>1</v>
      </c>
      <c r="B28" s="23" t="inlineStr">
        <is>
          <t>iriomote_cat</t>
        </is>
      </c>
      <c r="C28" s="23" t="inlineStr">
        <is>
          <t>西表山貓</t>
        </is>
      </c>
      <c r="D28" s="23" t="inlineStr">
        <is>
          <t>貓科</t>
        </is>
      </c>
      <c r="E28" s="28" t="n">
        <v>3</v>
      </c>
      <c r="F28" s="23" t="inlineStr">
        <is>
          <t>E1 拿掉近側兩條腿；E3 拿掉頭；E4 拿掉兩隻耳朵；E5 閉眼；E7 頭轉向鏡頭</t>
        </is>
      </c>
      <c r="G28" s="23" t="inlineStr">
        <is>
          <t>—</t>
        </is>
      </c>
      <c r="H28" s="23" t="inlineStr">
        <is>
          <t>待機呼吸、張望、低頭聞、甩尾、耳朵抖、眨眼、張嘴、走路（定格每秒 8 格）</t>
        </is>
      </c>
      <c r="I28" s="23" t="inlineStr">
        <is>
          <t>≤ 120 KB</t>
        </is>
      </c>
      <c r="J28" s="28" t="n">
        <v>3</v>
      </c>
      <c r="K28" s="23" t="inlineStr">
        <is>
          <t>P1</t>
        </is>
      </c>
      <c r="L28" s="29" t="inlineStr">
        <is>
          <t>未開始</t>
        </is>
      </c>
      <c r="M28" s="30" t="inlineStr"/>
    </row>
    <row r="29">
      <c r="A29" s="31" t="n">
        <v>2</v>
      </c>
      <c r="B29" s="22" t="inlineStr">
        <is>
          <t>tsushima_cat</t>
        </is>
      </c>
      <c r="C29" s="22" t="inlineStr">
        <is>
          <t>對馬山貓</t>
        </is>
      </c>
      <c r="D29" s="22" t="inlineStr">
        <is>
          <t>貓科</t>
        </is>
      </c>
      <c r="E29" s="31" t="n">
        <v>3</v>
      </c>
      <c r="F29" s="22" t="inlineStr">
        <is>
          <t>E1 拿掉近側兩條腿；E3 拿掉頭；E4 拿掉兩隻耳朵；E5 閉眼；E7 頭轉向鏡頭</t>
        </is>
      </c>
      <c r="G29" s="22" t="inlineStr">
        <is>
          <t>—</t>
        </is>
      </c>
      <c r="H29" s="22" t="inlineStr">
        <is>
          <t>待機呼吸、張望、低頭聞、甩尾、耳朵抖、眨眼、張嘴、走路（定格每秒 8 格）</t>
        </is>
      </c>
      <c r="I29" s="22" t="inlineStr">
        <is>
          <t>≤ 120 KB</t>
        </is>
      </c>
      <c r="J29" s="31" t="n">
        <v>3</v>
      </c>
      <c r="K29" s="22" t="inlineStr">
        <is>
          <t>P1</t>
        </is>
      </c>
      <c r="L29" s="29" t="inlineStr">
        <is>
          <t>未開始</t>
        </is>
      </c>
      <c r="M29" s="30" t="inlineStr"/>
    </row>
    <row r="30">
      <c r="A30" s="28" t="n">
        <v>3</v>
      </c>
      <c r="B30" s="23" t="inlineStr">
        <is>
          <t>amami_rabbit</t>
        </is>
      </c>
      <c r="C30" s="23" t="inlineStr">
        <is>
          <t>奄美黑兔</t>
        </is>
      </c>
      <c r="D30" s="23" t="inlineStr">
        <is>
          <t>兔</t>
        </is>
      </c>
      <c r="E30" s="28" t="n">
        <v>1</v>
      </c>
      <c r="F30" s="23" t="inlineStr">
        <is>
          <t>同貓科</t>
        </is>
      </c>
      <c r="G30" s="23" t="inlineStr">
        <is>
          <t>—</t>
        </is>
      </c>
      <c r="H30" s="23" t="inlineStr">
        <is>
          <t>待機、鼻子抽動、跳、低頭吃草、坐起張望</t>
        </is>
      </c>
      <c r="I30" s="23" t="inlineStr">
        <is>
          <t>≤ 120 KB</t>
        </is>
      </c>
      <c r="J30" s="28" t="n">
        <v>6</v>
      </c>
      <c r="K30" s="23" t="inlineStr">
        <is>
          <t>P2</t>
        </is>
      </c>
      <c r="L30" s="29" t="inlineStr">
        <is>
          <t>未開始</t>
        </is>
      </c>
      <c r="M30" s="30" t="inlineStr"/>
    </row>
    <row r="31">
      <c r="A31" s="31" t="n">
        <v>4</v>
      </c>
      <c r="B31" s="22" t="inlineStr">
        <is>
          <t>japanese_serow</t>
        </is>
      </c>
      <c r="C31" s="22" t="inlineStr">
        <is>
          <t>日本鬣羚</t>
        </is>
      </c>
      <c r="D31" s="22" t="inlineStr">
        <is>
          <t>山羊</t>
        </is>
      </c>
      <c r="E31" s="31" t="n">
        <v>3</v>
      </c>
      <c r="F31" s="22" t="inlineStr">
        <is>
          <t>同貓科＋拿掉鬃毛</t>
        </is>
      </c>
      <c r="G31" s="22" t="inlineStr">
        <is>
          <t>—</t>
        </is>
      </c>
      <c r="H31" s="22" t="inlineStr">
        <is>
          <t>待機、張望、低頭吃草、甩耳、走路</t>
        </is>
      </c>
      <c r="I31" s="22" t="inlineStr">
        <is>
          <t>≤ 120 KB</t>
        </is>
      </c>
      <c r="J31" s="31" t="n">
        <v>3</v>
      </c>
      <c r="K31" s="22" t="inlineStr">
        <is>
          <t>P1</t>
        </is>
      </c>
      <c r="L31" s="29" t="inlineStr">
        <is>
          <t>未開始</t>
        </is>
      </c>
      <c r="M31" s="30" t="inlineStr"/>
    </row>
    <row r="32">
      <c r="A32" s="28" t="n">
        <v>5</v>
      </c>
      <c r="B32" s="23" t="inlineStr">
        <is>
          <t>bonin_flying_fox</t>
        </is>
      </c>
      <c r="C32" s="23" t="inlineStr">
        <is>
          <t>小笠原狐蝠</t>
        </is>
      </c>
      <c r="D32" s="23" t="inlineStr">
        <is>
          <t>蝙蝠</t>
        </is>
      </c>
      <c r="E32" s="28" t="n">
        <v>1</v>
      </c>
      <c r="F32" s="23" t="inlineStr">
        <is>
          <t>頭轉向鏡頭（另畫倒掛、飛行姿勢）</t>
        </is>
      </c>
      <c r="G32" s="23" t="inlineStr">
        <is>
          <t>飛行（展翼）、倒掛各 1 張</t>
        </is>
      </c>
      <c r="H32" s="23" t="inlineStr">
        <is>
          <t>飛行拍翼、倒掛時收翼、轉頭</t>
        </is>
      </c>
      <c r="I32" s="23" t="inlineStr">
        <is>
          <t>≤ 120 KB</t>
        </is>
      </c>
      <c r="J32" s="28" t="n">
        <v>6</v>
      </c>
      <c r="K32" s="23" t="inlineStr">
        <is>
          <t>P2</t>
        </is>
      </c>
      <c r="L32" s="29" t="inlineStr">
        <is>
          <t>未開始</t>
        </is>
      </c>
      <c r="M32" s="30" t="inlineStr"/>
    </row>
    <row r="33">
      <c r="A33" s="31" t="n">
        <v>6</v>
      </c>
      <c r="B33" s="22" t="inlineStr">
        <is>
          <t>toki</t>
        </is>
      </c>
      <c r="C33" s="22" t="inlineStr">
        <is>
          <t>朱鷺</t>
        </is>
      </c>
      <c r="D33" s="22" t="inlineStr">
        <is>
          <t>涉禽</t>
        </is>
      </c>
      <c r="E33" s="31" t="n">
        <v>1</v>
      </c>
      <c r="F33" s="22" t="inlineStr">
        <is>
          <t>同鳥</t>
        </is>
      </c>
      <c r="G33" s="22" t="inlineStr">
        <is>
          <t>飛行姿勢 1 張（選配）</t>
        </is>
      </c>
      <c r="H33" s="22" t="inlineStr">
        <is>
          <t>待機、涉水走、低頭左右掃嘴覓食、理羽毛</t>
        </is>
      </c>
      <c r="I33" s="22" t="inlineStr">
        <is>
          <t>≤ 120 KB</t>
        </is>
      </c>
      <c r="J33" s="31" t="n">
        <v>6</v>
      </c>
      <c r="K33" s="22" t="inlineStr">
        <is>
          <t>P2</t>
        </is>
      </c>
      <c r="L33" s="29" t="inlineStr">
        <is>
          <t>未開始</t>
        </is>
      </c>
      <c r="M33" s="30" t="inlineStr"/>
    </row>
    <row r="34">
      <c r="A34" s="28" t="n">
        <v>7</v>
      </c>
      <c r="B34" s="23" t="inlineStr">
        <is>
          <t>red_crowned_crane</t>
        </is>
      </c>
      <c r="C34" s="23" t="inlineStr">
        <is>
          <t>丹頂鶴</t>
        </is>
      </c>
      <c r="D34" s="23" t="inlineStr">
        <is>
          <t>涉禽</t>
        </is>
      </c>
      <c r="E34" s="28" t="n">
        <v>1</v>
      </c>
      <c r="F34" s="23" t="inlineStr">
        <is>
          <t>同鳥</t>
        </is>
      </c>
      <c r="G34" s="23" t="inlineStr">
        <is>
          <t>飛行姿勢 1 張（選配）</t>
        </is>
      </c>
      <c r="H34" s="23" t="inlineStr">
        <is>
          <t>待機、涉水走、低頭左右掃嘴覓食、理羽毛</t>
        </is>
      </c>
      <c r="I34" s="23" t="inlineStr">
        <is>
          <t>≤ 120 KB</t>
        </is>
      </c>
      <c r="J34" s="28" t="n">
        <v>6</v>
      </c>
      <c r="K34" s="23" t="inlineStr">
        <is>
          <t>P2</t>
        </is>
      </c>
      <c r="L34" s="29" t="inlineStr">
        <is>
          <t>未開始</t>
        </is>
      </c>
      <c r="M34" s="30" t="inlineStr"/>
    </row>
    <row r="35">
      <c r="A35" s="31" t="n">
        <v>8</v>
      </c>
      <c r="B35" s="22" t="inlineStr">
        <is>
          <t>oriental_stork</t>
        </is>
      </c>
      <c r="C35" s="22" t="inlineStr">
        <is>
          <t>東方白鸛</t>
        </is>
      </c>
      <c r="D35" s="22" t="inlineStr">
        <is>
          <t>涉禽</t>
        </is>
      </c>
      <c r="E35" s="31" t="n">
        <v>1</v>
      </c>
      <c r="F35" s="22" t="inlineStr">
        <is>
          <t>同鳥</t>
        </is>
      </c>
      <c r="G35" s="22" t="inlineStr">
        <is>
          <t>飛行姿勢 1 張（選配）</t>
        </is>
      </c>
      <c r="H35" s="22" t="inlineStr">
        <is>
          <t>待機、涉水走、低頭左右掃嘴覓食、理羽毛</t>
        </is>
      </c>
      <c r="I35" s="22" t="inlineStr">
        <is>
          <t>≤ 120 KB</t>
        </is>
      </c>
      <c r="J35" s="31" t="n">
        <v>6</v>
      </c>
      <c r="K35" s="22" t="inlineStr">
        <is>
          <t>P2</t>
        </is>
      </c>
      <c r="L35" s="29" t="inlineStr">
        <is>
          <t>未開始</t>
        </is>
      </c>
      <c r="M35" s="30" t="inlineStr"/>
    </row>
    <row r="36">
      <c r="A36" s="28" t="n">
        <v>9</v>
      </c>
      <c r="B36" s="23" t="inlineStr">
        <is>
          <t>okinawa_rail</t>
        </is>
      </c>
      <c r="C36" s="23" t="inlineStr">
        <is>
          <t>山原秧雞</t>
        </is>
      </c>
      <c r="D36" s="23" t="inlineStr">
        <is>
          <t>雉雞</t>
        </is>
      </c>
      <c r="E36" s="28" t="n">
        <v>1</v>
      </c>
      <c r="F36" s="23" t="inlineStr">
        <is>
          <t>同鳥</t>
        </is>
      </c>
      <c r="G36" s="23" t="inlineStr">
        <is>
          <t>—</t>
        </is>
      </c>
      <c r="H36" s="23" t="inlineStr">
        <is>
          <t>待機、走路、低頭啄、抬頭張望、眨眼</t>
        </is>
      </c>
      <c r="I36" s="23" t="inlineStr">
        <is>
          <t>≤ 120 KB</t>
        </is>
      </c>
      <c r="J36" s="28" t="n">
        <v>6</v>
      </c>
      <c r="K36" s="23" t="inlineStr">
        <is>
          <t>P2</t>
        </is>
      </c>
      <c r="L36" s="29" t="inlineStr">
        <is>
          <t>未開始</t>
        </is>
      </c>
      <c r="M36" s="30" t="inlineStr"/>
    </row>
    <row r="37">
      <c r="A37" s="31" t="n">
        <v>10</v>
      </c>
      <c r="B37" s="22" t="inlineStr">
        <is>
          <t>okinawa_woodpecker</t>
        </is>
      </c>
      <c r="C37" s="22" t="inlineStr">
        <is>
          <t>野口啄木鳥</t>
        </is>
      </c>
      <c r="D37" s="22" t="inlineStr">
        <is>
          <t>鳥</t>
        </is>
      </c>
      <c r="E37" s="31" t="n">
        <v>3</v>
      </c>
      <c r="F37" s="22" t="inlineStr">
        <is>
          <t>拿掉近側翅膀；拿掉頭；閉眼；拿掉近側腳；頭轉向鏡頭</t>
        </is>
      </c>
      <c r="G37" s="22" t="inlineStr">
        <is>
          <t>飛行姿勢 1 張</t>
        </is>
      </c>
      <c r="H37" s="22" t="inlineStr">
        <is>
          <t>待機、跳兩步、低頭啄、理羽毛、歪頭、眨眼、拍翅；另需「飛行姿勢」1 張</t>
        </is>
      </c>
      <c r="I37" s="22" t="inlineStr">
        <is>
          <t>≤ 120 KB</t>
        </is>
      </c>
      <c r="J37" s="31" t="n">
        <v>3</v>
      </c>
      <c r="K37" s="22" t="inlineStr">
        <is>
          <t>P1</t>
        </is>
      </c>
      <c r="L37" s="29" t="inlineStr">
        <is>
          <t>未開始</t>
        </is>
      </c>
      <c r="M37" s="30" t="inlineStr"/>
    </row>
    <row r="38">
      <c r="A38" s="28" t="n">
        <v>11</v>
      </c>
      <c r="B38" s="23" t="inlineStr">
        <is>
          <t>ptarmigan</t>
        </is>
      </c>
      <c r="C38" s="23" t="inlineStr">
        <is>
          <t>雷鳥</t>
        </is>
      </c>
      <c r="D38" s="23" t="inlineStr">
        <is>
          <t>雉雞</t>
        </is>
      </c>
      <c r="E38" s="28" t="n">
        <v>3</v>
      </c>
      <c r="F38" s="23" t="inlineStr">
        <is>
          <t>同鳥</t>
        </is>
      </c>
      <c r="G38" s="23" t="inlineStr">
        <is>
          <t>—</t>
        </is>
      </c>
      <c r="H38" s="23" t="inlineStr">
        <is>
          <t>待機、走路、低頭啄、抬頭張望、眨眼</t>
        </is>
      </c>
      <c r="I38" s="23" t="inlineStr">
        <is>
          <t>≤ 120 KB</t>
        </is>
      </c>
      <c r="J38" s="28" t="n">
        <v>3</v>
      </c>
      <c r="K38" s="23" t="inlineStr">
        <is>
          <t>P1</t>
        </is>
      </c>
      <c r="L38" s="29" t="inlineStr">
        <is>
          <t>未開始</t>
        </is>
      </c>
      <c r="M38" s="30" t="inlineStr"/>
    </row>
    <row r="39">
      <c r="A39" s="31" t="n">
        <v>12</v>
      </c>
      <c r="B39" s="22" t="inlineStr">
        <is>
          <t>blakiston_owl</t>
        </is>
      </c>
      <c r="C39" s="22" t="inlineStr">
        <is>
          <t>毛腿魚鴞</t>
        </is>
      </c>
      <c r="D39" s="22" t="inlineStr">
        <is>
          <t>貓頭鷹</t>
        </is>
      </c>
      <c r="E39" s="31" t="n">
        <v>3</v>
      </c>
      <c r="F39" s="22" t="inlineStr">
        <is>
          <t>拿掉頭；閉眼；拿掉耳羽；頭轉向鏡頭</t>
        </is>
      </c>
      <c r="G39" s="22" t="inlineStr">
        <is>
          <t>—</t>
        </is>
      </c>
      <c r="H39" s="22" t="inlineStr">
        <is>
          <t>待機、大角度轉頭、眨眼、縮成一團（發光眼睛由程式畫）</t>
        </is>
      </c>
      <c r="I39" s="22" t="inlineStr">
        <is>
          <t>≤ 120 KB</t>
        </is>
      </c>
      <c r="J39" s="31" t="n">
        <v>3</v>
      </c>
      <c r="K39" s="22" t="inlineStr">
        <is>
          <t>P1</t>
        </is>
      </c>
      <c r="L39" s="29" t="inlineStr">
        <is>
          <t>未開始</t>
        </is>
      </c>
      <c r="M39" s="30" t="inlineStr"/>
    </row>
    <row r="40">
      <c r="A40" s="28" t="n">
        <v>13</v>
      </c>
      <c r="B40" s="23" t="inlineStr">
        <is>
          <t>steller_eagle</t>
        </is>
      </c>
      <c r="C40" s="23" t="inlineStr">
        <is>
          <t>虎頭海鵰</t>
        </is>
      </c>
      <c r="D40" s="23" t="inlineStr">
        <is>
          <t>猛禽</t>
        </is>
      </c>
      <c r="E40" s="28" t="n">
        <v>3</v>
      </c>
      <c r="F40" s="23" t="inlineStr">
        <is>
          <t>同鳥</t>
        </is>
      </c>
      <c r="G40" s="23" t="inlineStr">
        <is>
          <t>展翅盤旋 1 張</t>
        </is>
      </c>
      <c r="H40" s="23" t="inlineStr">
        <is>
          <t>待機、張望、展翅；另需「飛行姿勢（展翅盤旋）」1 張</t>
        </is>
      </c>
      <c r="I40" s="23" t="inlineStr">
        <is>
          <t>≤ 120 KB</t>
        </is>
      </c>
      <c r="J40" s="28" t="n">
        <v>3</v>
      </c>
      <c r="K40" s="23" t="inlineStr">
        <is>
          <t>P1</t>
        </is>
      </c>
      <c r="L40" s="29" t="inlineStr">
        <is>
          <t>未開始</t>
        </is>
      </c>
      <c r="M40" s="30" t="inlineStr"/>
    </row>
    <row r="41">
      <c r="A41" s="31" t="n">
        <v>14</v>
      </c>
      <c r="B41" s="22" t="inlineStr">
        <is>
          <t>golden_eagle</t>
        </is>
      </c>
      <c r="C41" s="22" t="inlineStr">
        <is>
          <t>金鵰</t>
        </is>
      </c>
      <c r="D41" s="22" t="inlineStr">
        <is>
          <t>猛禽</t>
        </is>
      </c>
      <c r="E41" s="31" t="n">
        <v>1</v>
      </c>
      <c r="F41" s="22" t="inlineStr">
        <is>
          <t>同鳥</t>
        </is>
      </c>
      <c r="G41" s="22" t="inlineStr">
        <is>
          <t>展翅盤旋 1 張</t>
        </is>
      </c>
      <c r="H41" s="22" t="inlineStr">
        <is>
          <t>待機、張望、展翅；另需「飛行姿勢（展翅盤旋）」1 張</t>
        </is>
      </c>
      <c r="I41" s="22" t="inlineStr">
        <is>
          <t>≤ 120 KB</t>
        </is>
      </c>
      <c r="J41" s="31" t="n">
        <v>6</v>
      </c>
      <c r="K41" s="22" t="inlineStr">
        <is>
          <t>P2</t>
        </is>
      </c>
      <c r="L41" s="29" t="inlineStr">
        <is>
          <t>未開始</t>
        </is>
      </c>
      <c r="M41" s="30" t="inlineStr"/>
    </row>
    <row r="42">
      <c r="A42" s="28" t="n">
        <v>15</v>
      </c>
      <c r="B42" s="23" t="inlineStr">
        <is>
          <t>short_tailed_albatross</t>
        </is>
      </c>
      <c r="C42" s="23" t="inlineStr">
        <is>
          <t>短尾信天翁</t>
        </is>
      </c>
      <c r="D42" s="23" t="inlineStr">
        <is>
          <t>海鳥</t>
        </is>
      </c>
      <c r="E42" s="28" t="n">
        <v>1</v>
      </c>
      <c r="F42" s="23" t="inlineStr">
        <is>
          <t>同鳥</t>
        </is>
      </c>
      <c r="G42" s="23" t="inlineStr">
        <is>
          <t>展翅滑翔 1 張</t>
        </is>
      </c>
      <c r="H42" s="23" t="inlineStr">
        <is>
          <t>待機、張望、滑翔、互相碰嘴；另需「展翅滑翔」1 張</t>
        </is>
      </c>
      <c r="I42" s="23" t="inlineStr">
        <is>
          <t>≤ 120 KB</t>
        </is>
      </c>
      <c r="J42" s="28" t="n">
        <v>6</v>
      </c>
      <c r="K42" s="23" t="inlineStr">
        <is>
          <t>P2</t>
        </is>
      </c>
      <c r="L42" s="29" t="inlineStr">
        <is>
          <t>未開始</t>
        </is>
      </c>
      <c r="M42" s="30" t="inlineStr"/>
    </row>
    <row r="43">
      <c r="A43" s="31" t="n">
        <v>16</v>
      </c>
      <c r="B43" s="22" t="inlineStr">
        <is>
          <t>giant_salamander</t>
        </is>
      </c>
      <c r="C43" s="22" t="inlineStr">
        <is>
          <t>日本大山椒魚</t>
        </is>
      </c>
      <c r="D43" s="22" t="inlineStr">
        <is>
          <t>山椒魚</t>
        </is>
      </c>
      <c r="E43" s="31" t="n">
        <v>1</v>
      </c>
      <c r="F43" s="22" t="inlineStr">
        <is>
          <t>拿掉近側兩條腿</t>
        </is>
      </c>
      <c r="G43" s="22" t="inlineStr">
        <is>
          <t>—</t>
        </is>
      </c>
      <c r="H43" s="22" t="inlineStr">
        <is>
          <t>待機、慢慢爬、張大嘴、尾巴擺動</t>
        </is>
      </c>
      <c r="I43" s="22" t="inlineStr">
        <is>
          <t>≤ 120 KB</t>
        </is>
      </c>
      <c r="J43" s="31" t="n">
        <v>6</v>
      </c>
      <c r="K43" s="22" t="inlineStr">
        <is>
          <t>P2</t>
        </is>
      </c>
      <c r="L43" s="29" t="inlineStr">
        <is>
          <t>未開始</t>
        </is>
      </c>
      <c r="M43" s="30" t="inlineStr"/>
    </row>
    <row r="44">
      <c r="A44" s="28" t="n">
        <v>17</v>
      </c>
      <c r="B44" s="23" t="inlineStr">
        <is>
          <t>ishikawa_frog</t>
        </is>
      </c>
      <c r="C44" s="23" t="inlineStr">
        <is>
          <t>沖繩石川蛙</t>
        </is>
      </c>
      <c r="D44" s="23" t="inlineStr">
        <is>
          <t>蛙</t>
        </is>
      </c>
      <c r="E44" s="28" t="n">
        <v>1</v>
      </c>
      <c r="F44" s="23" t="inlineStr">
        <is>
          <t>拿掉近側後腳；閉眼；頭轉向鏡頭</t>
        </is>
      </c>
      <c r="G44" s="23" t="inlineStr">
        <is>
          <t>—</t>
        </is>
      </c>
      <c r="H44" s="23" t="inlineStr">
        <is>
          <t>待機、鼓鳴囊（叫）、跳、眨眼</t>
        </is>
      </c>
      <c r="I44" s="23" t="inlineStr">
        <is>
          <t>≤ 120 KB</t>
        </is>
      </c>
      <c r="J44" s="28" t="n">
        <v>6</v>
      </c>
      <c r="K44" s="23" t="inlineStr">
        <is>
          <t>P2</t>
        </is>
      </c>
      <c r="L44" s="29" t="inlineStr">
        <is>
          <t>未開始</t>
        </is>
      </c>
      <c r="M44" s="30" t="inlineStr"/>
    </row>
    <row r="45">
      <c r="A45" s="31" t="n">
        <v>18</v>
      </c>
      <c r="B45" s="22" t="inlineStr">
        <is>
          <t>loggerhead</t>
        </is>
      </c>
      <c r="C45" s="22" t="inlineStr">
        <is>
          <t>赤蠵龜</t>
        </is>
      </c>
      <c r="D45" s="22" t="inlineStr">
        <is>
          <t>海龜</t>
        </is>
      </c>
      <c r="E45" s="31" t="n">
        <v>1</v>
      </c>
      <c r="F45" s="22" t="inlineStr">
        <is>
          <t>拿掉近側前鰭；頭轉向鏡頭</t>
        </is>
      </c>
      <c r="G45" s="22" t="inlineStr">
        <is>
          <t>—</t>
        </is>
      </c>
      <c r="H45" s="22" t="inlineStr">
        <is>
          <t>划水、浮上換氣、轉頭</t>
        </is>
      </c>
      <c r="I45" s="22" t="inlineStr">
        <is>
          <t>≤ 120 KB</t>
        </is>
      </c>
      <c r="J45" s="31" t="n">
        <v>6</v>
      </c>
      <c r="K45" s="22" t="inlineStr">
        <is>
          <t>P2</t>
        </is>
      </c>
      <c r="L45" s="29" t="inlineStr">
        <is>
          <t>未開始</t>
        </is>
      </c>
      <c r="M45" s="30" t="inlineStr"/>
    </row>
    <row r="46">
      <c r="A46" s="28" t="n">
        <v>19</v>
      </c>
      <c r="B46" s="23" t="inlineStr">
        <is>
          <t>sakhalin_taimen</t>
        </is>
      </c>
      <c r="C46" s="23" t="inlineStr">
        <is>
          <t>哲羅魚（伊富魚）</t>
        </is>
      </c>
      <c r="D46" s="23" t="inlineStr">
        <is>
          <t>魚</t>
        </is>
      </c>
      <c r="E46" s="28" t="n">
        <v>1</v>
      </c>
      <c r="F46" s="23" t="inlineStr">
        <is>
          <t>拿掉胸鰭</t>
        </is>
      </c>
      <c r="G46" s="23" t="inlineStr">
        <is>
          <t>—</t>
        </is>
      </c>
      <c r="H46" s="23" t="inlineStr">
        <is>
          <t>游動擺尾、停在水中、轉向</t>
        </is>
      </c>
      <c r="I46" s="23" t="inlineStr">
        <is>
          <t>≤ 120 KB</t>
        </is>
      </c>
      <c r="J46" s="28" t="n">
        <v>6</v>
      </c>
      <c r="K46" s="23" t="inlineStr">
        <is>
          <t>P2</t>
        </is>
      </c>
      <c r="L46" s="29" t="inlineStr">
        <is>
          <t>未開始</t>
        </is>
      </c>
      <c r="M46" s="30" t="inlineStr"/>
    </row>
  </sheetData>
  <autoFilter ref="A4:M46"/>
  <mergeCells count="3">
    <mergeCell ref="A27:M27"/>
    <mergeCell ref="A2:M2"/>
    <mergeCell ref="A5:M5"/>
  </mergeCells>
  <dataValidations count="1">
    <dataValidation sqref="L5:L304" showDropDown="0" showInputMessage="0" showErrorMessage="0" allowBlank="1" errorTitle="狀態" error="請從清單選一個狀態" type="list">
      <formula1>"未開始,製作中,待驗收,已完成,暫代,選配"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2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30" customWidth="1" min="3" max="3"/>
    <col width="52" customWidth="1" min="4" max="4"/>
    <col width="36" customWidth="1" min="5" max="5"/>
    <col width="34" customWidth="1" min="6" max="6"/>
    <col width="46" customWidth="1" min="7" max="7"/>
    <col width="14" customWidth="1" min="8" max="8"/>
  </cols>
  <sheetData>
    <row r="1">
      <c r="A1" s="21" t="inlineStr">
        <is>
          <t>B-1. 體型模板（同體型共用骨架與動作，只換貼圖）</t>
        </is>
      </c>
    </row>
    <row r="2" ht="32" customHeight="1">
      <c r="A2" s="2" t="inlineStr">
        <is>
          <t>40 隻動物只有 20 種體型，每種體型做 1 套骨架、權重規則與動作。貓科已用石虎驗證；其他體型以第一隻實作確認後再定案。</t>
        </is>
      </c>
    </row>
    <row r="4" ht="30" customHeight="1">
      <c r="A4" s="3" t="inlineStr">
        <is>
          <t>體型</t>
        </is>
      </c>
      <c r="B4" s="3" t="inlineStr">
        <is>
          <t>代號</t>
        </is>
      </c>
      <c r="C4" s="3" t="inlineStr">
        <is>
          <t>適用動物</t>
        </is>
      </c>
      <c r="D4" s="3" t="inlineStr">
        <is>
          <t>圖層（部件）</t>
        </is>
      </c>
      <c r="E4" s="3" t="inlineStr">
        <is>
          <t>剝層圖</t>
        </is>
      </c>
      <c r="F4" s="3" t="inlineStr">
        <is>
          <t>骨架</t>
        </is>
      </c>
      <c r="G4" s="3" t="inlineStr">
        <is>
          <t>動作</t>
        </is>
      </c>
      <c r="H4" s="3" t="inlineStr">
        <is>
          <t>狀態</t>
        </is>
      </c>
    </row>
    <row r="5">
      <c r="A5" s="22" t="inlineStr">
        <is>
          <t>貓科</t>
        </is>
      </c>
      <c r="B5" s="22" t="inlineStr">
        <is>
          <t>cat</t>
        </is>
      </c>
      <c r="C5" s="22" t="inlineStr">
        <is>
          <t>石虎、台灣雲豹、西表山貓、對馬山貓</t>
        </is>
      </c>
      <c r="D5" s="22" t="inlineStr">
        <is>
          <t>遠側後腳、遠側前腳、身體、尾巴 3 節、近側後腳、近側前腳、脖子、遠側耳、頭、張眼、閉眼、下巴、近側耳（硬切片 23 層 → 網格 12 層）</t>
        </is>
      </c>
      <c r="E5" s="22" t="inlineStr">
        <is>
          <t>E1 拿掉近側兩條腿；E3 拿掉頭；E4 拿掉兩隻耳朵；E5 閉眼；E7 頭轉向鏡頭</t>
        </is>
      </c>
      <c r="F5" s="22" t="inlineStr">
        <is>
          <t>21 根：身體、脖子、頭、兩耳、下巴、尾巴 3 節、四條腿各 3 節</t>
        </is>
      </c>
      <c r="G5" s="22" t="inlineStr">
        <is>
          <t>待機呼吸、張望、低頭聞、甩尾、耳朵抖、眨眼、張嘴、走路（定格每秒 8 格）</t>
        </is>
      </c>
      <c r="H5" s="30" t="inlineStr">
        <is>
          <t>已驗證（石虎）</t>
        </is>
      </c>
    </row>
    <row r="6">
      <c r="A6" s="23" t="inlineStr">
        <is>
          <t>熊</t>
        </is>
      </c>
      <c r="B6" s="23" t="inlineStr">
        <is>
          <t>bear</t>
        </is>
      </c>
      <c r="C6" s="23" t="inlineStr">
        <is>
          <t>台灣黑熊</t>
        </is>
      </c>
      <c r="D6" s="23" t="inlineStr">
        <is>
          <t>同貓科；尾巴 1 節</t>
        </is>
      </c>
      <c r="E6" s="23" t="inlineStr">
        <is>
          <t>同貓科</t>
        </is>
      </c>
      <c r="F6" s="23" t="inlineStr">
        <is>
          <t>同貓科，尾巴 1 根</t>
        </is>
      </c>
      <c r="G6" s="23" t="inlineStr">
        <is>
          <t>待機、張望、低頭聞、坐下、走路</t>
        </is>
      </c>
      <c r="H6" s="30" t="inlineStr">
        <is>
          <t>待第一隻實作確認</t>
        </is>
      </c>
    </row>
    <row r="7">
      <c r="A7" s="22" t="inlineStr">
        <is>
          <t>山羊</t>
        </is>
      </c>
      <c r="B7" s="22" t="inlineStr">
        <is>
          <t>goat</t>
        </is>
      </c>
      <c r="C7" s="22" t="inlineStr">
        <is>
          <t>日本鬣羚</t>
        </is>
      </c>
      <c r="D7" s="22" t="inlineStr">
        <is>
          <t>同貓科＋角（跟頭）、鬃毛（跟脖子）</t>
        </is>
      </c>
      <c r="E7" s="22" t="inlineStr">
        <is>
          <t>同貓科＋拿掉鬃毛</t>
        </is>
      </c>
      <c r="F7" s="22" t="inlineStr">
        <is>
          <t>同貓科</t>
        </is>
      </c>
      <c r="G7" s="22" t="inlineStr">
        <is>
          <t>待機、張望、低頭吃草、甩耳、走路</t>
        </is>
      </c>
      <c r="H7" s="30" t="inlineStr">
        <is>
          <t>待第一隻實作確認</t>
        </is>
      </c>
    </row>
    <row r="8">
      <c r="A8" s="23" t="inlineStr">
        <is>
          <t>貂</t>
        </is>
      </c>
      <c r="B8" s="23" t="inlineStr">
        <is>
          <t>mustelid</t>
        </is>
      </c>
      <c r="C8" s="23" t="inlineStr">
        <is>
          <t>黃喉貂</t>
        </is>
      </c>
      <c r="D8" s="23" t="inlineStr">
        <is>
          <t>同貓科；身體較長</t>
        </is>
      </c>
      <c r="E8" s="23" t="inlineStr">
        <is>
          <t>同貓科</t>
        </is>
      </c>
      <c r="F8" s="23" t="inlineStr">
        <is>
          <t>同貓科，身體可多 1 節</t>
        </is>
      </c>
      <c r="G8" s="23" t="inlineStr">
        <is>
          <t>待機、站起來張望、低頭聞、甩尾、走路</t>
        </is>
      </c>
      <c r="H8" s="30" t="inlineStr">
        <is>
          <t>待第一隻實作確認</t>
        </is>
      </c>
    </row>
    <row r="9">
      <c r="A9" s="22" t="inlineStr">
        <is>
          <t>穿山甲</t>
        </is>
      </c>
      <c r="B9" s="22" t="inlineStr">
        <is>
          <t>pangolin</t>
        </is>
      </c>
      <c r="C9" s="22" t="inlineStr">
        <is>
          <t>穿山甲</t>
        </is>
      </c>
      <c r="D9" s="22" t="inlineStr">
        <is>
          <t>同貓科；鱗片身體、長尾</t>
        </is>
      </c>
      <c r="E9" s="22" t="inlineStr">
        <is>
          <t>同貓科</t>
        </is>
      </c>
      <c r="F9" s="22" t="inlineStr">
        <is>
          <t>同貓科</t>
        </is>
      </c>
      <c r="G9" s="22" t="inlineStr">
        <is>
          <t>待機、低頭聞、甩尾、走路（選配：捲成球）</t>
        </is>
      </c>
      <c r="H9" s="30" t="inlineStr">
        <is>
          <t>待第一隻實作確認</t>
        </is>
      </c>
    </row>
    <row r="10">
      <c r="A10" s="23" t="inlineStr">
        <is>
          <t>鳥</t>
        </is>
      </c>
      <c r="B10" s="23" t="inlineStr">
        <is>
          <t>bird</t>
        </is>
      </c>
      <c r="C10" s="23" t="inlineStr">
        <is>
          <t>台灣藍鵲、八色鳥、黃山雀、野口啄木鳥</t>
        </is>
      </c>
      <c r="D10" s="23" t="inlineStr">
        <is>
          <t>身體、頭、嘴、張眼、閉眼、近側翅膀、遠側翅膀、尾羽、近側腳、遠側腳</t>
        </is>
      </c>
      <c r="E10" s="23" t="inlineStr">
        <is>
          <t>拿掉近側翅膀；拿掉頭；閉眼；拿掉近側腳；頭轉向鏡頭</t>
        </is>
      </c>
      <c r="F10" s="23" t="inlineStr">
        <is>
          <t>約 12 根：身體、頭、嘴、兩翅、尾羽 2 節、兩腳各 2 節</t>
        </is>
      </c>
      <c r="G10" s="23" t="inlineStr">
        <is>
          <t>待機、跳兩步、低頭啄、理羽毛、歪頭、眨眼、拍翅；另需「飛行姿勢」1 張</t>
        </is>
      </c>
      <c r="H10" s="30" t="inlineStr">
        <is>
          <t>待第一隻實作確認</t>
        </is>
      </c>
    </row>
    <row r="11">
      <c r="A11" s="22" t="inlineStr">
        <is>
          <t>雉雞</t>
        </is>
      </c>
      <c r="B11" s="22" t="inlineStr">
        <is>
          <t>pheasant</t>
        </is>
      </c>
      <c r="C11" s="22" t="inlineStr">
        <is>
          <t>帝雉、藍腹鷴、台灣山鷓鴣、雷鳥、山原秧雞</t>
        </is>
      </c>
      <c r="D11" s="22" t="inlineStr">
        <is>
          <t>同鳥；尾羽較長（3 節）</t>
        </is>
      </c>
      <c r="E11" s="22" t="inlineStr">
        <is>
          <t>同鳥</t>
        </is>
      </c>
      <c r="F11" s="22" t="inlineStr">
        <is>
          <t>同鳥，尾羽 3 節</t>
        </is>
      </c>
      <c r="G11" s="22" t="inlineStr">
        <is>
          <t>待機、走路、低頭啄、抬頭張望、眨眼</t>
        </is>
      </c>
      <c r="H11" s="30" t="inlineStr">
        <is>
          <t>待第一隻實作確認</t>
        </is>
      </c>
    </row>
    <row r="12">
      <c r="A12" s="23" t="inlineStr">
        <is>
          <t>猛禽</t>
        </is>
      </c>
      <c r="B12" s="23" t="inlineStr">
        <is>
          <t>raptor</t>
        </is>
      </c>
      <c r="C12" s="23" t="inlineStr">
        <is>
          <t>熊鷹、虎頭海鵰、金鵰</t>
        </is>
      </c>
      <c r="D12" s="23" t="inlineStr">
        <is>
          <t>同鳥；翅膀較大</t>
        </is>
      </c>
      <c r="E12" s="23" t="inlineStr">
        <is>
          <t>同鳥</t>
        </is>
      </c>
      <c r="F12" s="23" t="inlineStr">
        <is>
          <t>同鳥</t>
        </is>
      </c>
      <c r="G12" s="23" t="inlineStr">
        <is>
          <t>待機、張望、展翅；另需「飛行姿勢（展翅盤旋）」1 張</t>
        </is>
      </c>
      <c r="H12" s="30" t="inlineStr">
        <is>
          <t>待第一隻實作確認</t>
        </is>
      </c>
    </row>
    <row r="13">
      <c r="A13" s="22" t="inlineStr">
        <is>
          <t>貓頭鷹</t>
        </is>
      </c>
      <c r="B13" s="22" t="inlineStr">
        <is>
          <t>owl</t>
        </is>
      </c>
      <c r="C13" s="22" t="inlineStr">
        <is>
          <t>黃魚鴞、毛腿魚鴞</t>
        </is>
      </c>
      <c r="D13" s="22" t="inlineStr">
        <is>
          <t>身體、頭、耳羽、張眼、閉眼、近側翅膀、腳</t>
        </is>
      </c>
      <c r="E13" s="22" t="inlineStr">
        <is>
          <t>拿掉頭；閉眼；拿掉耳羽；頭轉向鏡頭</t>
        </is>
      </c>
      <c r="F13" s="22" t="inlineStr">
        <is>
          <t>約 8 根：身體、頭、兩耳羽、兩翅、兩腳</t>
        </is>
      </c>
      <c r="G13" s="22" t="inlineStr">
        <is>
          <t>待機、大角度轉頭、眨眼、縮成一團（發光眼睛由程式畫）</t>
        </is>
      </c>
      <c r="H13" s="30" t="inlineStr">
        <is>
          <t>待第一隻實作確認</t>
        </is>
      </c>
    </row>
    <row r="14">
      <c r="A14" s="23" t="inlineStr">
        <is>
          <t>涉禽</t>
        </is>
      </c>
      <c r="B14" s="23" t="inlineStr">
        <is>
          <t>wader</t>
        </is>
      </c>
      <c r="C14" s="23" t="inlineStr">
        <is>
          <t>黑面琵鷺、朱鷺、丹頂鶴、東方白鸛</t>
        </is>
      </c>
      <c r="D14" s="23" t="inlineStr">
        <is>
          <t>同鳥＋長腳、長嘴</t>
        </is>
      </c>
      <c r="E14" s="23" t="inlineStr">
        <is>
          <t>同鳥</t>
        </is>
      </c>
      <c r="F14" s="23" t="inlineStr">
        <is>
          <t>同鳥，腳各 3 節、嘴 1 節</t>
        </is>
      </c>
      <c r="G14" s="23" t="inlineStr">
        <is>
          <t>待機、涉水走、低頭左右掃嘴覓食、理羽毛</t>
        </is>
      </c>
      <c r="H14" s="30" t="inlineStr">
        <is>
          <t>待第一隻實作確認</t>
        </is>
      </c>
    </row>
    <row r="15">
      <c r="A15" s="22" t="inlineStr">
        <is>
          <t>水獺</t>
        </is>
      </c>
      <c r="B15" s="22" t="inlineStr">
        <is>
          <t>otter</t>
        </is>
      </c>
      <c r="C15" s="22" t="inlineStr">
        <is>
          <t>歐亞水獺（金門）</t>
        </is>
      </c>
      <c r="D15" s="22" t="inlineStr">
        <is>
          <t>同貓科；身體長、尾巴粗</t>
        </is>
      </c>
      <c r="E15" s="22" t="inlineStr">
        <is>
          <t>同貓科</t>
        </is>
      </c>
      <c r="F15" s="22" t="inlineStr">
        <is>
          <t>同貓科，身體多 1 節、尾巴 3 節</t>
        </is>
      </c>
      <c r="G15" s="22" t="inlineStr">
        <is>
          <t>待機、站起來張望、走路、游泳（另畫游泳姿勢）</t>
        </is>
      </c>
      <c r="H15" s="30" t="inlineStr">
        <is>
          <t>待第一隻實作確認</t>
        </is>
      </c>
    </row>
    <row r="16">
      <c r="A16" s="23" t="inlineStr">
        <is>
          <t>魚</t>
        </is>
      </c>
      <c r="B16" s="23" t="inlineStr">
        <is>
          <t>fish</t>
        </is>
      </c>
      <c r="C16" s="23" t="inlineStr">
        <is>
          <t>櫻花鉤吻鮭、哲羅魚</t>
        </is>
      </c>
      <c r="D16" s="23" t="inlineStr">
        <is>
          <t>身體前段、身體後段、尾鰭、胸鰭、背鰭</t>
        </is>
      </c>
      <c r="E16" s="23" t="inlineStr">
        <is>
          <t>拿掉胸鰭</t>
        </is>
      </c>
      <c r="F16" s="23" t="inlineStr">
        <is>
          <t>約 5 根：身體 2 節、尾鰭、胸鰭、背鰭</t>
        </is>
      </c>
      <c r="G16" s="23" t="inlineStr">
        <is>
          <t>游動擺尾、停在水中、轉向</t>
        </is>
      </c>
      <c r="H16" s="30" t="inlineStr">
        <is>
          <t>待第一隻實作確認</t>
        </is>
      </c>
    </row>
    <row r="17">
      <c r="A17" s="22" t="inlineStr">
        <is>
          <t>海龜</t>
        </is>
      </c>
      <c r="B17" s="22" t="inlineStr">
        <is>
          <t>turtle</t>
        </is>
      </c>
      <c r="C17" s="22" t="inlineStr">
        <is>
          <t>綠蠵龜、赤蠵龜</t>
        </is>
      </c>
      <c r="D17" s="22" t="inlineStr">
        <is>
          <t>背甲、頭、前鰭（近、遠）、後鰭（近、遠）</t>
        </is>
      </c>
      <c r="E17" s="22" t="inlineStr">
        <is>
          <t>拿掉近側前鰭；頭轉向鏡頭</t>
        </is>
      </c>
      <c r="F17" s="22" t="inlineStr">
        <is>
          <t>約 6 根：甲殼、頭、四片鰭</t>
        </is>
      </c>
      <c r="G17" s="22" t="inlineStr">
        <is>
          <t>划水、浮上換氣、轉頭</t>
        </is>
      </c>
      <c r="H17" s="30" t="inlineStr">
        <is>
          <t>待第一隻實作確認</t>
        </is>
      </c>
    </row>
    <row r="18">
      <c r="A18" s="23" t="inlineStr">
        <is>
          <t>海豚</t>
        </is>
      </c>
      <c r="B18" s="23" t="inlineStr">
        <is>
          <t>dolphin</t>
        </is>
      </c>
      <c r="C18" s="23" t="inlineStr">
        <is>
          <t>中華白海豚</t>
        </is>
      </c>
      <c r="D18" s="23" t="inlineStr">
        <is>
          <t>身體前段、身體後段、尾鰭、胸鰭、背鰭</t>
        </is>
      </c>
      <c r="E18" s="23" t="inlineStr">
        <is>
          <t>拿掉胸鰭；頭轉向鏡頭</t>
        </is>
      </c>
      <c r="F18" s="23" t="inlineStr">
        <is>
          <t>約 5 根：身體 2 節、尾鰭、胸鰭</t>
        </is>
      </c>
      <c r="G18" s="23" t="inlineStr">
        <is>
          <t>游、躍出水面、噴氣</t>
        </is>
      </c>
      <c r="H18" s="30" t="inlineStr">
        <is>
          <t>待第一隻實作確認</t>
        </is>
      </c>
    </row>
    <row r="19">
      <c r="A19" s="22" t="inlineStr">
        <is>
          <t>蝴蝶</t>
        </is>
      </c>
      <c r="B19" s="22" t="inlineStr">
        <is>
          <t>butterfly</t>
        </is>
      </c>
      <c r="C19" s="22" t="inlineStr">
        <is>
          <t>寬尾鳳蝶</t>
        </is>
      </c>
      <c r="D19" s="22" t="inlineStr">
        <is>
          <t>身體、前翅、後翅（左右各一）、觸角</t>
        </is>
      </c>
      <c r="E19" s="22" t="inlineStr">
        <is>
          <t>—（另畫停棲姿勢）</t>
        </is>
      </c>
      <c r="F19" s="22" t="inlineStr">
        <is>
          <t>約 5 根：身體、四片翅膀</t>
        </is>
      </c>
      <c r="G19" s="22" t="inlineStr">
        <is>
          <t>拍翅飛舞、停在花上翅膀開合</t>
        </is>
      </c>
      <c r="H19" s="30" t="inlineStr">
        <is>
          <t>待第一隻實作確認</t>
        </is>
      </c>
    </row>
    <row r="20">
      <c r="A20" s="23" t="inlineStr">
        <is>
          <t>蛙</t>
        </is>
      </c>
      <c r="B20" s="23" t="inlineStr">
        <is>
          <t>frog</t>
        </is>
      </c>
      <c r="C20" s="23" t="inlineStr">
        <is>
          <t>諸羅樹蛙、沖繩石川蛙</t>
        </is>
      </c>
      <c r="D20" s="23" t="inlineStr">
        <is>
          <t>身體、頭、前腳、後腳（近、遠）、鳴囊、張眼、閉眼</t>
        </is>
      </c>
      <c r="E20" s="23" t="inlineStr">
        <is>
          <t>拿掉近側後腳；閉眼；頭轉向鏡頭</t>
        </is>
      </c>
      <c r="F20" s="23" t="inlineStr">
        <is>
          <t>約 8 根：身體、頭、四條腿、鳴囊</t>
        </is>
      </c>
      <c r="G20" s="23" t="inlineStr">
        <is>
          <t>待機、鼓鳴囊（叫）、跳、眨眼</t>
        </is>
      </c>
      <c r="H20" s="30" t="inlineStr">
        <is>
          <t>待第一隻實作確認</t>
        </is>
      </c>
    </row>
    <row r="21">
      <c r="A21" s="22" t="inlineStr">
        <is>
          <t>蝙蝠</t>
        </is>
      </c>
      <c r="B21" s="22" t="inlineStr">
        <is>
          <t>bat</t>
        </is>
      </c>
      <c r="C21" s="22" t="inlineStr">
        <is>
          <t>台灣狐蝠、小笠原狐蝠</t>
        </is>
      </c>
      <c r="D21" s="22" t="inlineStr">
        <is>
          <t>身體、頭、雙翼（近、遠）、腳</t>
        </is>
      </c>
      <c r="E21" s="22" t="inlineStr">
        <is>
          <t>頭轉向鏡頭（另畫倒掛、飛行姿勢）</t>
        </is>
      </c>
      <c r="F21" s="22" t="inlineStr">
        <is>
          <t>約 7 根：身體、頭、兩翼各 2 節、腳</t>
        </is>
      </c>
      <c r="G21" s="22" t="inlineStr">
        <is>
          <t>飛行拍翼、倒掛時收翼、轉頭</t>
        </is>
      </c>
      <c r="H21" s="30" t="inlineStr">
        <is>
          <t>待第一隻實作確認</t>
        </is>
      </c>
    </row>
    <row r="22">
      <c r="A22" s="23" t="inlineStr">
        <is>
          <t>兔</t>
        </is>
      </c>
      <c r="B22" s="23" t="inlineStr">
        <is>
          <t>rabbit</t>
        </is>
      </c>
      <c r="C22" s="23" t="inlineStr">
        <is>
          <t>奄美黑兔</t>
        </is>
      </c>
      <c r="D22" s="23" t="inlineStr">
        <is>
          <t>同貓科；耳朵短、後腳大</t>
        </is>
      </c>
      <c r="E22" s="23" t="inlineStr">
        <is>
          <t>同貓科</t>
        </is>
      </c>
      <c r="F22" s="23" t="inlineStr">
        <is>
          <t>同貓科，尾巴 1 根</t>
        </is>
      </c>
      <c r="G22" s="23" t="inlineStr">
        <is>
          <t>待機、鼻子抽動、跳、低頭吃草、坐起張望</t>
        </is>
      </c>
      <c r="H22" s="30" t="inlineStr">
        <is>
          <t>待第一隻實作確認</t>
        </is>
      </c>
    </row>
    <row r="23">
      <c r="A23" s="22" t="inlineStr">
        <is>
          <t>山椒魚</t>
        </is>
      </c>
      <c r="B23" s="22" t="inlineStr">
        <is>
          <t>salamander</t>
        </is>
      </c>
      <c r="C23" s="22" t="inlineStr">
        <is>
          <t>日本大山椒魚</t>
        </is>
      </c>
      <c r="D23" s="22" t="inlineStr">
        <is>
          <t>頭、身體前段、身體後段、尾巴 2 節、四條腿</t>
        </is>
      </c>
      <c r="E23" s="22" t="inlineStr">
        <is>
          <t>拿掉近側兩條腿</t>
        </is>
      </c>
      <c r="F23" s="22" t="inlineStr">
        <is>
          <t>約 9 根：頭、身體 2 節、尾巴 2 節、四條腿</t>
        </is>
      </c>
      <c r="G23" s="22" t="inlineStr">
        <is>
          <t>待機、慢慢爬、張大嘴、尾巴擺動</t>
        </is>
      </c>
      <c r="H23" s="30" t="inlineStr">
        <is>
          <t>待第一隻實作確認</t>
        </is>
      </c>
    </row>
    <row r="24">
      <c r="A24" s="23" t="inlineStr">
        <is>
          <t>海鳥</t>
        </is>
      </c>
      <c r="B24" s="23" t="inlineStr">
        <is>
          <t>seabird</t>
        </is>
      </c>
      <c r="C24" s="23" t="inlineStr">
        <is>
          <t>短尾信天翁</t>
        </is>
      </c>
      <c r="D24" s="23" t="inlineStr">
        <is>
          <t>同鳥；翅膀很長</t>
        </is>
      </c>
      <c r="E24" s="23" t="inlineStr">
        <is>
          <t>同鳥</t>
        </is>
      </c>
      <c r="F24" s="23" t="inlineStr">
        <is>
          <t>同鳥</t>
        </is>
      </c>
      <c r="G24" s="23" t="inlineStr">
        <is>
          <t>待機、張望、滑翔、互相碰嘴；另需「展翅滑翔」1 張</t>
        </is>
      </c>
      <c r="H24" s="30" t="inlineStr">
        <is>
          <t>待第一隻實作確認</t>
        </is>
      </c>
    </row>
  </sheetData>
  <autoFilter ref="A4:H24"/>
  <mergeCells count="1">
    <mergeCell ref="A2:H2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2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24" customWidth="1" min="3" max="3"/>
    <col width="8" customWidth="1" min="4" max="4"/>
    <col width="52" customWidth="1" min="5" max="5"/>
    <col width="13" customWidth="1" min="6" max="6"/>
    <col width="8" customWidth="1" min="7" max="7"/>
    <col width="7" customWidth="1" min="8" max="8"/>
    <col width="9" customWidth="1" min="9" max="9"/>
    <col width="34" customWidth="1" min="10" max="10"/>
  </cols>
  <sheetData>
    <row r="1">
      <c r="A1" s="21" t="inlineStr">
        <is>
          <t>C. 專注畫面的望遠鏡全景（棲地 × 時段）</t>
        </is>
      </c>
    </row>
    <row r="2" ht="32" customHeight="1">
      <c r="A2" s="2" t="inlineStr">
        <is>
          <t>專注時上方圓形鏡片在橫向全景上左右搜尋、推近拉遠，動物專注一小段時間後在遠方出現、越來越近。全景照「棲地」共用，不照國家分。晨昏先用白天版調色（選配列）。規格見 C-1。</t>
        </is>
      </c>
    </row>
    <row r="4" ht="30" customHeight="1">
      <c r="A4" s="3" t="inlineStr">
        <is>
          <t>編號</t>
        </is>
      </c>
      <c r="B4" s="3" t="inlineStr">
        <is>
          <t>檔名</t>
        </is>
      </c>
      <c r="C4" s="3" t="inlineStr">
        <is>
          <t>棲地</t>
        </is>
      </c>
      <c r="D4" s="3" t="inlineStr">
        <is>
          <t>時段</t>
        </is>
      </c>
      <c r="E4" s="3" t="inlineStr">
        <is>
          <t>會用到的動物（晨昏的動物先用白天版）</t>
        </is>
      </c>
      <c r="F4" s="3" t="inlineStr">
        <is>
          <t>尺寸</t>
        </is>
      </c>
      <c r="G4" s="3" t="inlineStr">
        <is>
          <t>交圖批次</t>
        </is>
      </c>
      <c r="H4" s="3" t="inlineStr">
        <is>
          <t>優先度</t>
        </is>
      </c>
      <c r="I4" s="3" t="inlineStr">
        <is>
          <t>狀態</t>
        </is>
      </c>
      <c r="J4" s="3" t="inlineStr">
        <is>
          <t>備註</t>
        </is>
      </c>
    </row>
    <row r="5">
      <c r="A5" s="31" t="n">
        <v>1</v>
      </c>
      <c r="B5" s="22" t="inlineStr">
        <is>
          <t>pano-forest-low-day.webp</t>
        </is>
      </c>
      <c r="C5" s="22" t="inlineStr">
        <is>
          <t>中低海拔森林</t>
        </is>
      </c>
      <c r="D5" s="22" t="inlineStr">
        <is>
          <t>白天</t>
        </is>
      </c>
      <c r="E5" s="22" t="inlineStr">
        <is>
          <t>石虎、台灣藍鵲、八色鳥、藍腹鷴、台灣山鷓鴣</t>
        </is>
      </c>
      <c r="F5" s="22" t="inlineStr">
        <is>
          <t>約 3000×1150</t>
        </is>
      </c>
      <c r="G5" s="31" t="n">
        <v>1</v>
      </c>
      <c r="H5" s="22" t="inlineStr">
        <is>
          <t>P0</t>
        </is>
      </c>
      <c r="I5" s="33" t="inlineStr">
        <is>
          <t>暫代</t>
        </is>
      </c>
      <c r="J5" s="30" t="inlineStr">
        <is>
          <t>原型暫時用 focus-done.webp（白天山景）</t>
        </is>
      </c>
    </row>
    <row r="6">
      <c r="A6" s="28" t="n">
        <v>2</v>
      </c>
      <c r="B6" s="23" t="inlineStr">
        <is>
          <t>pano-forest-low-night.webp</t>
        </is>
      </c>
      <c r="C6" s="23" t="inlineStr">
        <is>
          <t>中低海拔森林</t>
        </is>
      </c>
      <c r="D6" s="23" t="inlineStr">
        <is>
          <t>夜晚</t>
        </is>
      </c>
      <c r="E6" s="23" t="inlineStr">
        <is>
          <t>穿山甲、台灣雲豹、諸羅樹蛙</t>
        </is>
      </c>
      <c r="F6" s="23" t="inlineStr">
        <is>
          <t>約 3000×1150</t>
        </is>
      </c>
      <c r="G6" s="28" t="n">
        <v>1</v>
      </c>
      <c r="H6" s="23" t="inlineStr">
        <is>
          <t>P0</t>
        </is>
      </c>
      <c r="I6" s="33" t="inlineStr">
        <is>
          <t>暫代</t>
        </is>
      </c>
      <c r="J6" s="30" t="inlineStr">
        <is>
          <t>原型暫時把白天全景壓暗</t>
        </is>
      </c>
    </row>
    <row r="7">
      <c r="A7" s="31" t="n">
        <v>3</v>
      </c>
      <c r="B7" s="22" t="inlineStr">
        <is>
          <t>pano-stream-day.webp</t>
        </is>
      </c>
      <c r="C7" s="22" t="inlineStr">
        <is>
          <t>溪流</t>
        </is>
      </c>
      <c r="D7" s="22" t="inlineStr">
        <is>
          <t>白天</t>
        </is>
      </c>
      <c r="E7" s="22" t="inlineStr">
        <is>
          <t>虎頭海鵰</t>
        </is>
      </c>
      <c r="F7" s="22" t="inlineStr">
        <is>
          <t>約 3000×1150</t>
        </is>
      </c>
      <c r="G7" s="31" t="n">
        <v>2</v>
      </c>
      <c r="H7" s="22" t="inlineStr">
        <is>
          <t>P1</t>
        </is>
      </c>
      <c r="I7" s="29" t="inlineStr">
        <is>
          <t>未開始</t>
        </is>
      </c>
      <c r="J7" s="30" t="inlineStr"/>
    </row>
    <row r="8">
      <c r="A8" s="28" t="n">
        <v>4</v>
      </c>
      <c r="B8" s="23" t="inlineStr">
        <is>
          <t>pano-stream-night.webp</t>
        </is>
      </c>
      <c r="C8" s="23" t="inlineStr">
        <is>
          <t>溪流</t>
        </is>
      </c>
      <c r="D8" s="23" t="inlineStr">
        <is>
          <t>夜晚</t>
        </is>
      </c>
      <c r="E8" s="23" t="inlineStr">
        <is>
          <t>黃魚鴞、歐亞水獺（金門）、毛腿魚鴞、日本大山椒魚</t>
        </is>
      </c>
      <c r="F8" s="23" t="inlineStr">
        <is>
          <t>約 3000×1150</t>
        </is>
      </c>
      <c r="G8" s="28" t="n">
        <v>2</v>
      </c>
      <c r="H8" s="23" t="inlineStr">
        <is>
          <t>P1</t>
        </is>
      </c>
      <c r="I8" s="29" t="inlineStr">
        <is>
          <t>未開始</t>
        </is>
      </c>
      <c r="J8" s="30" t="inlineStr"/>
    </row>
    <row r="9">
      <c r="A9" s="31" t="n">
        <v>5</v>
      </c>
      <c r="B9" s="22" t="inlineStr">
        <is>
          <t>pano-island-day.webp</t>
        </is>
      </c>
      <c r="C9" s="22" t="inlineStr">
        <is>
          <t>南方島嶼（亞熱帶林）</t>
        </is>
      </c>
      <c r="D9" s="22" t="inlineStr">
        <is>
          <t>白天</t>
        </is>
      </c>
      <c r="E9" s="22" t="inlineStr">
        <is>
          <t>山原秧雞、野口啄木鳥</t>
        </is>
      </c>
      <c r="F9" s="22" t="inlineStr">
        <is>
          <t>約 3000×1150</t>
        </is>
      </c>
      <c r="G9" s="31" t="n">
        <v>3</v>
      </c>
      <c r="H9" s="22" t="inlineStr">
        <is>
          <t>P1</t>
        </is>
      </c>
      <c r="I9" s="29" t="inlineStr">
        <is>
          <t>未開始</t>
        </is>
      </c>
      <c r="J9" s="30" t="inlineStr"/>
    </row>
    <row r="10">
      <c r="A10" s="28" t="n">
        <v>6</v>
      </c>
      <c r="B10" s="23" t="inlineStr">
        <is>
          <t>pano-island-night.webp</t>
        </is>
      </c>
      <c r="C10" s="23" t="inlineStr">
        <is>
          <t>南方島嶼（亞熱帶林）</t>
        </is>
      </c>
      <c r="D10" s="23" t="inlineStr">
        <is>
          <t>夜晚</t>
        </is>
      </c>
      <c r="E10" s="23" t="inlineStr">
        <is>
          <t>台灣狐蝠、西表山貓、奄美黑兔、小笠原狐蝠、沖繩石川蛙</t>
        </is>
      </c>
      <c r="F10" s="23" t="inlineStr">
        <is>
          <t>約 3000×1150</t>
        </is>
      </c>
      <c r="G10" s="28" t="n">
        <v>3</v>
      </c>
      <c r="H10" s="23" t="inlineStr">
        <is>
          <t>P1</t>
        </is>
      </c>
      <c r="I10" s="29" t="inlineStr">
        <is>
          <t>未開始</t>
        </is>
      </c>
      <c r="J10" s="30" t="inlineStr"/>
    </row>
    <row r="11">
      <c r="A11" s="31" t="n">
        <v>7</v>
      </c>
      <c r="B11" s="22" t="inlineStr">
        <is>
          <t>pano-forest-mountain-day.webp</t>
        </is>
      </c>
      <c r="C11" s="22" t="inlineStr">
        <is>
          <t>山地森林（針葉林、較涼）</t>
        </is>
      </c>
      <c r="D11" s="22" t="inlineStr">
        <is>
          <t>白天</t>
        </is>
      </c>
      <c r="E11" s="22" t="inlineStr">
        <is>
          <t>台灣黑熊、帝雉、黃喉貂、熊鷹、黃山雀、寬尾鳳蝶、日本鬣羚</t>
        </is>
      </c>
      <c r="F11" s="22" t="inlineStr">
        <is>
          <t>約 3000×1150</t>
        </is>
      </c>
      <c r="G11" s="31" t="n">
        <v>4</v>
      </c>
      <c r="H11" s="22" t="inlineStr">
        <is>
          <t>P1</t>
        </is>
      </c>
      <c r="I11" s="29" t="inlineStr">
        <is>
          <t>未開始</t>
        </is>
      </c>
      <c r="J11" s="30" t="inlineStr"/>
    </row>
    <row r="12">
      <c r="A12" s="28" t="n">
        <v>8</v>
      </c>
      <c r="B12" s="23" t="inlineStr">
        <is>
          <t>pano-alpine-day.webp</t>
        </is>
      </c>
      <c r="C12" s="23" t="inlineStr">
        <is>
          <t>高山（草原、岩壁）</t>
        </is>
      </c>
      <c r="D12" s="23" t="inlineStr">
        <is>
          <t>白天</t>
        </is>
      </c>
      <c r="E12" s="23" t="inlineStr">
        <is>
          <t>雷鳥、金鵰</t>
        </is>
      </c>
      <c r="F12" s="23" t="inlineStr">
        <is>
          <t>約 3000×1150</t>
        </is>
      </c>
      <c r="G12" s="28" t="n">
        <v>4</v>
      </c>
      <c r="H12" s="23" t="inlineStr">
        <is>
          <t>P1</t>
        </is>
      </c>
      <c r="I12" s="29" t="inlineStr">
        <is>
          <t>未開始</t>
        </is>
      </c>
      <c r="J12" s="30" t="inlineStr"/>
    </row>
    <row r="13">
      <c r="A13" s="31" t="n">
        <v>9</v>
      </c>
      <c r="B13" s="22" t="inlineStr">
        <is>
          <t>pano-satoyama-night.webp</t>
        </is>
      </c>
      <c r="C13" s="22" t="inlineStr">
        <is>
          <t>里山</t>
        </is>
      </c>
      <c r="D13" s="22" t="inlineStr">
        <is>
          <t>夜晚</t>
        </is>
      </c>
      <c r="E13" s="22" t="inlineStr">
        <is>
          <t>對馬山貓</t>
        </is>
      </c>
      <c r="F13" s="22" t="inlineStr">
        <is>
          <t>約 3000×1150</t>
        </is>
      </c>
      <c r="G13" s="31" t="n">
        <v>4</v>
      </c>
      <c r="H13" s="22" t="inlineStr">
        <is>
          <t>P1</t>
        </is>
      </c>
      <c r="I13" s="29" t="inlineStr">
        <is>
          <t>未開始</t>
        </is>
      </c>
      <c r="J13" s="30" t="inlineStr"/>
    </row>
    <row r="14">
      <c r="A14" s="28" t="n">
        <v>10</v>
      </c>
      <c r="B14" s="23" t="inlineStr">
        <is>
          <t>pano-satoyama-day.webp</t>
        </is>
      </c>
      <c r="C14" s="23" t="inlineStr">
        <is>
          <t>里山</t>
        </is>
      </c>
      <c r="D14" s="23" t="inlineStr">
        <is>
          <t>白天</t>
        </is>
      </c>
      <c r="E14" s="23" t="inlineStr">
        <is>
          <t>朱鷺、東方白鸛</t>
        </is>
      </c>
      <c r="F14" s="23" t="inlineStr">
        <is>
          <t>約 3000×1150</t>
        </is>
      </c>
      <c r="G14" s="28" t="n">
        <v>6</v>
      </c>
      <c r="H14" s="23" t="inlineStr">
        <is>
          <t>P2</t>
        </is>
      </c>
      <c r="I14" s="29" t="inlineStr">
        <is>
          <t>未開始</t>
        </is>
      </c>
      <c r="J14" s="30" t="inlineStr">
        <is>
          <t>日本新增物種用（朱鷺、東方白鸛：水田、溪邊）</t>
        </is>
      </c>
    </row>
    <row r="15">
      <c r="A15" s="31" t="n">
        <v>11</v>
      </c>
      <c r="B15" s="22" t="inlineStr">
        <is>
          <t>pano-wetland-day.webp</t>
        </is>
      </c>
      <c r="C15" s="22" t="inlineStr">
        <is>
          <t>濕地河口</t>
        </is>
      </c>
      <c r="D15" s="22" t="inlineStr">
        <is>
          <t>白天</t>
        </is>
      </c>
      <c r="E15" s="22" t="inlineStr">
        <is>
          <t>黑面琵鷺、丹頂鶴</t>
        </is>
      </c>
      <c r="F15" s="22" t="inlineStr">
        <is>
          <t>約 3000×1150</t>
        </is>
      </c>
      <c r="G15" s="31" t="n">
        <v>6</v>
      </c>
      <c r="H15" s="22" t="inlineStr">
        <is>
          <t>P2</t>
        </is>
      </c>
      <c r="I15" s="29" t="inlineStr">
        <is>
          <t>未開始</t>
        </is>
      </c>
      <c r="J15" s="30" t="inlineStr">
        <is>
          <t>新增物種用（黑面琵鷺、丹頂鶴；丹頂鶴可加雪地版）</t>
        </is>
      </c>
    </row>
    <row r="16">
      <c r="A16" s="28" t="n">
        <v>12</v>
      </c>
      <c r="B16" s="23" t="inlineStr">
        <is>
          <t>pano-ocean-day.webp</t>
        </is>
      </c>
      <c r="C16" s="23" t="inlineStr">
        <is>
          <t>海洋（海面＋淺水下）</t>
        </is>
      </c>
      <c r="D16" s="23" t="inlineStr">
        <is>
          <t>白天</t>
        </is>
      </c>
      <c r="E16" s="23" t="inlineStr">
        <is>
          <t>綠蠵龜、中華白海豚、短尾信天翁、赤蠵龜</t>
        </is>
      </c>
      <c r="F16" s="23" t="inlineStr">
        <is>
          <t>約 3000×1150</t>
        </is>
      </c>
      <c r="G16" s="28" t="n">
        <v>6</v>
      </c>
      <c r="H16" s="23" t="inlineStr">
        <is>
          <t>P2</t>
        </is>
      </c>
      <c r="I16" s="29" t="inlineStr">
        <is>
          <t>未開始</t>
        </is>
      </c>
      <c r="J16" s="30" t="inlineStr">
        <is>
          <t>新增物種用；要看得到水下（綠蠵龜、中華白海豚、赤蠵龜、短尾信天翁）</t>
        </is>
      </c>
    </row>
    <row r="17">
      <c r="A17" s="31" t="n">
        <v>13</v>
      </c>
      <c r="B17" s="22" t="inlineStr">
        <is>
          <t>pano-stream-under-day.webp</t>
        </is>
      </c>
      <c r="C17" s="22" t="inlineStr">
        <is>
          <t>溪流水下</t>
        </is>
      </c>
      <c r="D17" s="22" t="inlineStr">
        <is>
          <t>白天</t>
        </is>
      </c>
      <c r="E17" s="22" t="inlineStr">
        <is>
          <t>櫻花鉤吻鮭、哲羅魚（伊富魚）</t>
        </is>
      </c>
      <c r="F17" s="22" t="inlineStr">
        <is>
          <t>約 3000×1150</t>
        </is>
      </c>
      <c r="G17" s="31" t="n">
        <v>6</v>
      </c>
      <c r="H17" s="22" t="inlineStr">
        <is>
          <t>P2</t>
        </is>
      </c>
      <c r="I17" s="29" t="inlineStr">
        <is>
          <t>未開始</t>
        </is>
      </c>
      <c r="J17" s="30" t="inlineStr">
        <is>
          <t>新增物種用（櫻花鉤吻鮭、哲羅魚）</t>
        </is>
      </c>
    </row>
    <row r="18">
      <c r="A18" s="28" t="n">
        <v>14</v>
      </c>
      <c r="B18" s="23" t="inlineStr">
        <is>
          <t>pano-forest-low-dusk.webp</t>
        </is>
      </c>
      <c r="C18" s="23" t="inlineStr">
        <is>
          <t>中低海拔森林</t>
        </is>
      </c>
      <c r="D18" s="23" t="inlineStr">
        <is>
          <t>晨昏</t>
        </is>
      </c>
      <c r="E18" s="23" t="inlineStr">
        <is>
          <t>石虎、藍腹鷴、台灣山鷓鴣</t>
        </is>
      </c>
      <c r="F18" s="23" t="inlineStr">
        <is>
          <t>約 3000×1150</t>
        </is>
      </c>
      <c r="G18" s="28" t="n">
        <v>5</v>
      </c>
      <c r="H18" s="23" t="inlineStr">
        <is>
          <t>P2</t>
        </is>
      </c>
      <c r="I18" s="34" t="inlineStr">
        <is>
          <t>選配</t>
        </is>
      </c>
      <c r="J18" s="30" t="inlineStr">
        <is>
          <t>先用白天版加暖色調</t>
        </is>
      </c>
    </row>
    <row r="19">
      <c r="A19" s="31" t="n">
        <v>15</v>
      </c>
      <c r="B19" s="22" t="inlineStr">
        <is>
          <t>pano-forest-mountain-dusk.webp</t>
        </is>
      </c>
      <c r="C19" s="22" t="inlineStr">
        <is>
          <t>山地森林（針葉林、較涼）</t>
        </is>
      </c>
      <c r="D19" s="22" t="inlineStr">
        <is>
          <t>晨昏</t>
        </is>
      </c>
      <c r="E19" s="22" t="inlineStr">
        <is>
          <t>帝雉、日本鬣羚</t>
        </is>
      </c>
      <c r="F19" s="22" t="inlineStr">
        <is>
          <t>約 3000×1150</t>
        </is>
      </c>
      <c r="G19" s="31" t="n">
        <v>5</v>
      </c>
      <c r="H19" s="22" t="inlineStr">
        <is>
          <t>P2</t>
        </is>
      </c>
      <c r="I19" s="34" t="inlineStr">
        <is>
          <t>選配</t>
        </is>
      </c>
      <c r="J19" s="30" t="inlineStr">
        <is>
          <t>先用白天版加暖色調</t>
        </is>
      </c>
    </row>
    <row r="20">
      <c r="A20" s="28" t="n">
        <v>16</v>
      </c>
      <c r="B20" s="23" t="inlineStr">
        <is>
          <t>pano-alpine-dusk.webp</t>
        </is>
      </c>
      <c r="C20" s="23" t="inlineStr">
        <is>
          <t>高山（草原、岩壁）</t>
        </is>
      </c>
      <c r="D20" s="23" t="inlineStr">
        <is>
          <t>晨昏</t>
        </is>
      </c>
      <c r="E20" s="23" t="inlineStr">
        <is>
          <t>（之後新增的動物）</t>
        </is>
      </c>
      <c r="F20" s="23" t="inlineStr">
        <is>
          <t>約 3000×1150</t>
        </is>
      </c>
      <c r="G20" s="28" t="n">
        <v>5</v>
      </c>
      <c r="H20" s="23" t="inlineStr">
        <is>
          <t>P2</t>
        </is>
      </c>
      <c r="I20" s="34" t="inlineStr">
        <is>
          <t>選配</t>
        </is>
      </c>
      <c r="J20" s="30" t="inlineStr">
        <is>
          <t>先用白天版加暖色調</t>
        </is>
      </c>
    </row>
  </sheetData>
  <autoFilter ref="A4:J20"/>
  <mergeCells count="1">
    <mergeCell ref="A2:J2"/>
  </mergeCells>
  <dataValidations count="1">
    <dataValidation sqref="I5:I304" showDropDown="0" showInputMessage="0" showErrorMessage="0" allowBlank="1" errorTitle="狀態" error="請從清單選一個狀態" type="list">
      <formula1>"未開始,製作中,待驗收,已完成,暫代,選配"</formula1>
    </dataValidation>
  </dataValidation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6" customWidth="1" min="2" max="2"/>
    <col width="70" customWidth="1" min="3" max="3"/>
  </cols>
  <sheetData>
    <row r="1">
      <c r="A1" s="21" t="inlineStr">
        <is>
          <t>C-1. 望遠鏡全景規格</t>
        </is>
      </c>
    </row>
    <row r="2" ht="32" customHeight="1">
      <c r="A2" s="2" t="inlineStr">
        <is>
          <t>構圖與尺寸都和程式的座標對應，改之前先確認。</t>
        </is>
      </c>
    </row>
    <row r="4" ht="30" customHeight="1">
      <c r="A4" s="3" t="inlineStr">
        <is>
          <t>項目</t>
        </is>
      </c>
      <c r="B4" s="3" t="inlineStr">
        <is>
          <t>規格</t>
        </is>
      </c>
      <c r="C4" s="3" t="inlineStr">
        <is>
          <t>說明</t>
        </is>
      </c>
    </row>
    <row r="5">
      <c r="A5" s="22" t="inlineStr">
        <is>
          <t>尺寸</t>
        </is>
      </c>
      <c r="B5" s="22" t="inlineStr">
        <is>
          <t>約 3000 × 1150 px（約 2.6：1）</t>
        </is>
      </c>
      <c r="C5" s="22" t="inlineStr">
        <is>
          <t>鏡片在手機上約 950 px 寬；全景放大 1.3 倍、再推近約 1.2 倍，圖高 1,150～1,400 px 才清楚。</t>
        </is>
      </c>
    </row>
    <row r="6">
      <c r="A6" s="23" t="inlineStr">
        <is>
          <t>構圖</t>
        </is>
      </c>
      <c r="B6" s="23" t="inlineStr">
        <is>
          <t>天空約佔上方 1/3；中間偏下（高度 55%～75%）是一片平坦地面</t>
        </is>
      </c>
      <c r="C6" s="23" t="inlineStr">
        <is>
          <t>動物在地面上走近、停下；猛禽在天空盤旋。</t>
        </is>
      </c>
    </row>
    <row r="7">
      <c r="A7" s="22" t="inlineStr">
        <is>
          <t>留白</t>
        </is>
      </c>
      <c r="B7" s="22" t="inlineStr">
        <is>
          <t>水平 62%、高度 59%～70% 附近保持乾淨</t>
        </is>
      </c>
      <c r="C7" s="22" t="inlineStr">
        <is>
          <t>這裡是動物最後停下、倒木擺放的位置（程式座標 SPOT＝62%, 70%）。</t>
        </is>
      </c>
    </row>
    <row r="8">
      <c r="A8" s="23" t="inlineStr">
        <is>
          <t>左右兩側</t>
        </is>
      </c>
      <c r="B8" s="23" t="inlineStr">
        <is>
          <t>可以放樹、岩石增加層次，但不要太多細節</t>
        </is>
      </c>
      <c r="C8" s="23" t="inlineStr">
        <is>
          <t>底圖結構太複雜會讓動物看不清楚。</t>
        </is>
      </c>
    </row>
    <row r="9">
      <c r="A9" s="22" t="inlineStr">
        <is>
          <t>夜晚版</t>
        </is>
      </c>
      <c r="B9" s="22" t="inlineStr">
        <is>
          <t>用白天版請 GPT 轉成夜景，構圖完全一樣</t>
        </is>
      </c>
      <c r="C9" s="22" t="inlineStr">
        <is>
          <t>動物出現的位置不用重新對。</t>
        </is>
      </c>
    </row>
    <row r="10">
      <c r="A10" s="23" t="inlineStr">
        <is>
          <t>晨昏</t>
        </is>
      </c>
      <c r="B10" s="23" t="inlineStr">
        <is>
          <t>先用白天版加暖色調處理，不另外畫</t>
        </is>
      </c>
      <c r="C10" s="23" t="inlineStr"/>
    </row>
    <row r="11">
      <c r="A11" s="22" t="inlineStr">
        <is>
          <t>GPT 限制</t>
        </is>
      </c>
      <c r="B11" s="22" t="inlineStr">
        <is>
          <t>一次最大約 1536 × 1024</t>
        </is>
      </c>
      <c r="C11" s="22" t="inlineStr">
        <is>
          <t>要分左右兩半畫、中間重疊一段再接，或由美術直接出大圖。</t>
        </is>
      </c>
    </row>
    <row r="12">
      <c r="A12" s="23" t="inlineStr">
        <is>
          <t>共用</t>
        </is>
      </c>
      <c r="B12" s="23" t="inlineStr">
        <is>
          <t>大廳的鏡片、結算頁的圖片都裁切同一張全景</t>
        </is>
      </c>
      <c r="C12" s="23" t="inlineStr">
        <is>
          <t>不用另外畫。</t>
        </is>
      </c>
    </row>
    <row r="13">
      <c r="A13" s="22" t="inlineStr">
        <is>
          <t>其他國家</t>
        </is>
      </c>
      <c r="B13" s="22" t="inlineStr">
        <is>
          <t>照棲地共用；全世界常見棲地 12～15 種 × 白天、夜晚</t>
        </is>
      </c>
      <c r="C13" s="22" t="inlineStr">
        <is>
          <t>總量上限約 24～30 張；地區特色用小的去背疊圖補（P2）。</t>
        </is>
      </c>
    </row>
  </sheetData>
  <autoFilter ref="A4:C13"/>
  <mergeCells count="1">
    <mergeCell ref="A2:C2"/>
  </mergeCell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J2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6" customWidth="1" min="2" max="2"/>
    <col width="16" customWidth="1" min="3" max="3"/>
    <col width="20" customWidth="1" min="4" max="4"/>
    <col width="10" customWidth="1" min="5" max="5"/>
    <col width="36" customWidth="1" min="6" max="6"/>
    <col width="40" customWidth="1" min="7" max="7"/>
    <col width="7" customWidth="1" min="8" max="8"/>
    <col width="9" customWidth="1" min="9" max="9"/>
    <col width="36" customWidth="1" min="10" max="10"/>
  </cols>
  <sheetData>
    <row r="1">
      <c r="A1" s="21" t="inlineStr">
        <is>
          <t>D. 我的小島：場景與修復工程</t>
        </is>
      </c>
    </row>
    <row r="2" ht="32" customHeight="1">
      <c r="A2" s="2" t="inlineStr">
        <is>
          <t>2D 分層插畫：一張底圖＋每個工程一張去背疊圖（同畫布、完全對齊）。投入 25／50／75／100% 時物件依序出現。規格見 D-1。</t>
        </is>
      </c>
    </row>
    <row r="4" ht="30" customHeight="1">
      <c r="A4" s="3" t="inlineStr">
        <is>
          <t>區域</t>
        </is>
      </c>
      <c r="B4" s="3" t="inlineStr">
        <is>
          <t>順序</t>
        </is>
      </c>
      <c r="C4" s="3" t="inlineStr">
        <is>
          <t>工程代號</t>
        </is>
      </c>
      <c r="D4" s="3" t="inlineStr">
        <is>
          <t>工程</t>
        </is>
      </c>
      <c r="E4" s="3" t="inlineStr">
        <is>
          <t>需要點數</t>
        </is>
      </c>
      <c r="F4" s="3" t="inlineStr">
        <is>
          <t>完成後的樣子</t>
        </is>
      </c>
      <c r="G4" s="3" t="inlineStr">
        <is>
          <t>要交的圖</t>
        </is>
      </c>
      <c r="H4" s="3" t="inlineStr">
        <is>
          <t>優先度</t>
        </is>
      </c>
      <c r="I4" s="3" t="inlineStr">
        <is>
          <t>狀態</t>
        </is>
      </c>
      <c r="J4" s="3" t="inlineStr">
        <is>
          <t>備註</t>
        </is>
      </c>
    </row>
    <row r="5">
      <c r="A5" s="22" t="inlineStr">
        <is>
          <t>台灣・棲光森林</t>
        </is>
      </c>
      <c r="B5" s="31" t="n">
        <v>0</v>
      </c>
      <c r="C5" s="22" t="inlineStr">
        <is>
          <t>—</t>
        </is>
      </c>
      <c r="D5" s="22" t="inlineStr">
        <is>
          <t>初始（荒廢）＋底圖</t>
        </is>
      </c>
      <c r="E5" s="22" t="n"/>
      <c r="F5" s="22" t="inlineStr">
        <is>
          <t>荒廢的森林：枯黃地面、倒木、落石</t>
        </is>
      </c>
      <c r="G5" s="22" t="inlineStr">
        <is>
          <t>底圖 1 張（直式）</t>
        </is>
      </c>
      <c r="H5" s="22" t="inlineStr">
        <is>
          <t>P0</t>
        </is>
      </c>
      <c r="I5" s="33" t="inlineStr">
        <is>
          <t>暫代</t>
        </is>
      </c>
      <c r="J5" s="30" t="inlineStr">
        <is>
          <t>目前用 forest.webp（1167×1347，GPT 畫的完成狀態）</t>
        </is>
      </c>
    </row>
    <row r="6">
      <c r="A6" s="23" t="inlineStr">
        <is>
          <t>台灣・棲光森林</t>
        </is>
      </c>
      <c r="B6" s="28" t="n">
        <v>1</v>
      </c>
      <c r="C6" s="23" t="inlineStr">
        <is>
          <t>fo_trail</t>
        </is>
      </c>
      <c r="D6" s="23" t="inlineStr">
        <is>
          <t>清出林間步道</t>
        </is>
      </c>
      <c r="E6" s="28" t="n">
        <v>10</v>
      </c>
      <c r="F6" s="23" t="inlineStr">
        <is>
          <t>搬開倒木與落石，步道可以走了</t>
        </is>
      </c>
      <c r="G6" s="23" t="inlineStr">
        <is>
          <t>去背疊圖 1 張（拆 2～4 個物件，依 25／50／75／100% 出現）</t>
        </is>
      </c>
      <c r="H6" s="23" t="inlineStr">
        <is>
          <t>P0</t>
        </is>
      </c>
      <c r="I6" s="29" t="inlineStr">
        <is>
          <t>未開始</t>
        </is>
      </c>
      <c r="J6" s="30" t="inlineStr"/>
    </row>
    <row r="7">
      <c r="A7" s="22" t="inlineStr">
        <is>
          <t>台灣・棲光森林</t>
        </is>
      </c>
      <c r="B7" s="31" t="n">
        <v>2</v>
      </c>
      <c r="C7" s="22" t="inlineStr">
        <is>
          <t>fo_saplings</t>
        </is>
      </c>
      <c r="D7" s="22" t="inlineStr">
        <is>
          <t>種回原生樹苗</t>
        </is>
      </c>
      <c r="E7" s="31" t="n">
        <v>430</v>
      </c>
      <c r="F7" s="22" t="inlineStr">
        <is>
          <t>一排排小樹苗冒出新芽</t>
        </is>
      </c>
      <c r="G7" s="22" t="inlineStr">
        <is>
          <t>去背疊圖 1 張（拆 2～4 個物件，依 25／50／75／100% 出現）</t>
        </is>
      </c>
      <c r="H7" s="22" t="inlineStr">
        <is>
          <t>P0</t>
        </is>
      </c>
      <c r="I7" s="29" t="inlineStr">
        <is>
          <t>未開始</t>
        </is>
      </c>
      <c r="J7" s="30" t="inlineStr"/>
    </row>
    <row r="8">
      <c r="A8" s="23" t="inlineStr">
        <is>
          <t>台灣・棲光森林</t>
        </is>
      </c>
      <c r="B8" s="28" t="n">
        <v>3</v>
      </c>
      <c r="C8" s="23" t="inlineStr">
        <is>
          <t>fo_cabin</t>
        </is>
      </c>
      <c r="D8" s="23" t="inlineStr">
        <is>
          <t>修好森林觀察小屋</t>
        </is>
      </c>
      <c r="E8" s="28" t="n">
        <v>1300</v>
      </c>
      <c r="F8" s="23" t="inlineStr">
        <is>
          <t>小屋亮起燈，可以安靜地觀察森林</t>
        </is>
      </c>
      <c r="G8" s="23" t="inlineStr">
        <is>
          <t>去背疊圖 1 張（拆 2～4 個物件，依 25／50／75／100% 出現）</t>
        </is>
      </c>
      <c r="H8" s="23" t="inlineStr">
        <is>
          <t>P0</t>
        </is>
      </c>
      <c r="I8" s="29" t="inlineStr">
        <is>
          <t>未開始</t>
        </is>
      </c>
      <c r="J8" s="30" t="inlineStr"/>
    </row>
    <row r="9">
      <c r="A9" s="22" t="inlineStr">
        <is>
          <t>台灣・棲光森林</t>
        </is>
      </c>
      <c r="B9" s="31" t="n">
        <v>4</v>
      </c>
      <c r="C9" s="22" t="inlineStr">
        <is>
          <t>fo_undergrowth</t>
        </is>
      </c>
      <c r="D9" s="22" t="inlineStr">
        <is>
          <t>恢復林下草叢</t>
        </is>
      </c>
      <c r="E9" s="31" t="n">
        <v>1850</v>
      </c>
      <c r="F9" s="22" t="inlineStr">
        <is>
          <t>蕨類與草叢長回來，小動物有地方躲</t>
        </is>
      </c>
      <c r="G9" s="22" t="inlineStr">
        <is>
          <t>去背疊圖 1 張（拆 2～4 個物件，依 25／50／75／100% 出現）</t>
        </is>
      </c>
      <c r="H9" s="22" t="inlineStr">
        <is>
          <t>P0</t>
        </is>
      </c>
      <c r="I9" s="29" t="inlineStr">
        <is>
          <t>未開始</t>
        </is>
      </c>
      <c r="J9" s="30" t="inlineStr"/>
    </row>
    <row r="10">
      <c r="A10" s="23" t="inlineStr">
        <is>
          <t>台灣・棲光森林</t>
        </is>
      </c>
      <c r="B10" s="28" t="n">
        <v>5</v>
      </c>
      <c r="C10" s="23" t="inlineStr">
        <is>
          <t>fo_corridor</t>
        </is>
      </c>
      <c r="D10" s="23" t="inlineStr">
        <is>
          <t>架設生態廊道</t>
        </is>
      </c>
      <c r="E10" s="28" t="n">
        <v>2150</v>
      </c>
      <c r="F10" s="23" t="inlineStr">
        <is>
          <t>動物可以安全穿越的綠色通道</t>
        </is>
      </c>
      <c r="G10" s="23" t="inlineStr">
        <is>
          <t>去背疊圖 1 張（拆 2～4 個物件，依 25／50／75／100% 出現）</t>
        </is>
      </c>
      <c r="H10" s="23" t="inlineStr">
        <is>
          <t>P0</t>
        </is>
      </c>
      <c r="I10" s="29" t="inlineStr">
        <is>
          <t>未開始</t>
        </is>
      </c>
      <c r="J10" s="30" t="inlineStr"/>
    </row>
    <row r="11">
      <c r="A11" s="22" t="inlineStr">
        <is>
          <t>台灣・棲光森林</t>
        </is>
      </c>
      <c r="B11" s="31" t="n">
        <v>6</v>
      </c>
      <c r="C11" s="22" t="inlineStr">
        <is>
          <t>fo_spring</t>
        </is>
      </c>
      <c r="D11" s="22" t="inlineStr">
        <is>
          <t>整理森林水源地</t>
        </is>
      </c>
      <c r="E11" s="31" t="n">
        <v>2450</v>
      </c>
      <c r="F11" s="22" t="inlineStr">
        <is>
          <t>清澈的泉水流進小水池</t>
        </is>
      </c>
      <c r="G11" s="22" t="inlineStr">
        <is>
          <t>去背疊圖 1 張（拆 2～4 個物件，依 25／50／75／100% 出現）</t>
        </is>
      </c>
      <c r="H11" s="22" t="inlineStr">
        <is>
          <t>P0</t>
        </is>
      </c>
      <c r="I11" s="29" t="inlineStr">
        <is>
          <t>未開始</t>
        </is>
      </c>
      <c r="J11" s="30" t="inlineStr"/>
    </row>
    <row r="12">
      <c r="A12" s="23" t="inlineStr">
        <is>
          <t>台灣・棲光森林</t>
        </is>
      </c>
      <c r="B12" s="28" t="n">
        <v>7</v>
      </c>
      <c r="C12" s="23" t="inlineStr">
        <is>
          <t>fo_canopy</t>
        </is>
      </c>
      <c r="D12" s="23" t="inlineStr">
        <is>
          <t>搭建樹冠步道</t>
        </is>
      </c>
      <c r="E12" s="28" t="n">
        <v>2600</v>
      </c>
      <c r="F12" s="23" t="inlineStr">
        <is>
          <t>高處的木棧道，看得到整片樹海</t>
        </is>
      </c>
      <c r="G12" s="23" t="inlineStr">
        <is>
          <t>去背疊圖 1 張（拆 2～4 個物件，依 25／50／75／100% 出現）</t>
        </is>
      </c>
      <c r="H12" s="23" t="inlineStr">
        <is>
          <t>P0</t>
        </is>
      </c>
      <c r="I12" s="29" t="inlineStr">
        <is>
          <t>未開始</t>
        </is>
      </c>
      <c r="J12" s="30" t="inlineStr"/>
    </row>
    <row r="13">
      <c r="A13" s="22" t="inlineStr">
        <is>
          <t>台灣・棲光森林</t>
        </is>
      </c>
      <c r="B13" s="31" t="n">
        <v>8</v>
      </c>
      <c r="C13" s="22" t="inlineStr">
        <is>
          <t>fo_rescue</t>
        </is>
      </c>
      <c r="D13" s="22" t="inlineStr">
        <is>
          <t>設立保育救傷站</t>
        </is>
      </c>
      <c r="E13" s="31" t="n">
        <v>2700</v>
      </c>
      <c r="F13" s="22" t="inlineStr">
        <is>
          <t>受傷的動物在這裡被好好照顧</t>
        </is>
      </c>
      <c r="G13" s="22" t="inlineStr">
        <is>
          <t>去背疊圖 1 張（拆 2～4 個物件，依 25／50／75／100% 出現）</t>
        </is>
      </c>
      <c r="H13" s="22" t="inlineStr">
        <is>
          <t>P0</t>
        </is>
      </c>
      <c r="I13" s="29" t="inlineStr">
        <is>
          <t>未開始</t>
        </is>
      </c>
      <c r="J13" s="30" t="inlineStr"/>
    </row>
    <row r="14">
      <c r="A14" s="23" t="inlineStr">
        <is>
          <t>日本・里山</t>
        </is>
      </c>
      <c r="B14" s="28" t="n">
        <v>0</v>
      </c>
      <c r="C14" s="23" t="inlineStr">
        <is>
          <t>—</t>
        </is>
      </c>
      <c r="D14" s="23" t="inlineStr">
        <is>
          <t>初始（荒廢）＋底圖</t>
        </is>
      </c>
      <c r="E14" s="23" t="n"/>
      <c r="F14" s="23" t="inlineStr">
        <is>
          <t>荒廢的里山：倒下的杉木、乾涸的梯田</t>
        </is>
      </c>
      <c r="G14" s="23" t="inlineStr">
        <is>
          <t>底圖 1 張（直式）</t>
        </is>
      </c>
      <c r="H14" s="23" t="inlineStr">
        <is>
          <t>P1</t>
        </is>
      </c>
      <c r="I14" s="29" t="inlineStr">
        <is>
          <t>未開始</t>
        </is>
      </c>
      <c r="J14" s="30" t="inlineStr"/>
    </row>
    <row r="15">
      <c r="A15" s="22" t="inlineStr">
        <is>
          <t>日本・里山</t>
        </is>
      </c>
      <c r="B15" s="31" t="n">
        <v>1</v>
      </c>
      <c r="C15" s="22" t="inlineStr">
        <is>
          <t>jp_path</t>
        </is>
      </c>
      <c r="D15" s="22" t="inlineStr">
        <is>
          <t>清出杉林小徑</t>
        </is>
      </c>
      <c r="E15" s="31" t="n">
        <v>300</v>
      </c>
      <c r="F15" s="22" t="inlineStr">
        <is>
          <t>倒下的杉木搬開了，小徑可以走了</t>
        </is>
      </c>
      <c r="G15" s="22" t="inlineStr">
        <is>
          <t>去背疊圖 1 張（拆 2～4 個物件，依 25／50／75／100% 出現）</t>
        </is>
      </c>
      <c r="H15" s="22" t="inlineStr">
        <is>
          <t>P1</t>
        </is>
      </c>
      <c r="I15" s="29" t="inlineStr">
        <is>
          <t>未開始</t>
        </is>
      </c>
      <c r="J15" s="30" t="inlineStr"/>
    </row>
    <row r="16">
      <c r="A16" s="23" t="inlineStr">
        <is>
          <t>日本・里山</t>
        </is>
      </c>
      <c r="B16" s="28" t="n">
        <v>2</v>
      </c>
      <c r="C16" s="23" t="inlineStr">
        <is>
          <t>jp_terrace</t>
        </is>
      </c>
      <c r="D16" s="23" t="inlineStr">
        <is>
          <t>復原里山梯田</t>
        </is>
      </c>
      <c r="E16" s="28" t="n">
        <v>800</v>
      </c>
      <c r="F16" s="23" t="inlineStr">
        <is>
          <t>梯田重新灌水，青蛙和水鳥回來了</t>
        </is>
      </c>
      <c r="G16" s="23" t="inlineStr">
        <is>
          <t>去背疊圖 1 張（拆 2～4 個物件，依 25／50／75／100% 出現）</t>
        </is>
      </c>
      <c r="H16" s="23" t="inlineStr">
        <is>
          <t>P1</t>
        </is>
      </c>
      <c r="I16" s="29" t="inlineStr">
        <is>
          <t>未開始</t>
        </is>
      </c>
      <c r="J16" s="30" t="inlineStr"/>
    </row>
    <row r="17">
      <c r="A17" s="22" t="inlineStr">
        <is>
          <t>日本・里山</t>
        </is>
      </c>
      <c r="B17" s="31" t="n">
        <v>3</v>
      </c>
      <c r="C17" s="22" t="inlineStr">
        <is>
          <t>jp_hut</t>
        </is>
      </c>
      <c r="D17" s="22" t="inlineStr">
        <is>
          <t>修好山中小屋</t>
        </is>
      </c>
      <c r="E17" s="31" t="n">
        <v>1100</v>
      </c>
      <c r="F17" s="22" t="inlineStr">
        <is>
          <t>小屋亮起燈，可以安靜地觀察里山</t>
        </is>
      </c>
      <c r="G17" s="22" t="inlineStr">
        <is>
          <t>去背疊圖 1 張（拆 2～4 個物件，依 25／50／75／100% 出現）</t>
        </is>
      </c>
      <c r="H17" s="22" t="inlineStr">
        <is>
          <t>P1</t>
        </is>
      </c>
      <c r="I17" s="29" t="inlineStr">
        <is>
          <t>未開始</t>
        </is>
      </c>
      <c r="J17" s="30" t="inlineStr"/>
    </row>
    <row r="18">
      <c r="A18" s="23" t="inlineStr">
        <is>
          <t>日本・里山</t>
        </is>
      </c>
      <c r="B18" s="28" t="n">
        <v>4</v>
      </c>
      <c r="C18" s="23" t="inlineStr">
        <is>
          <t>jp_bamboo</t>
        </is>
      </c>
      <c r="D18" s="23" t="inlineStr">
        <is>
          <t>疏伐過密的竹林</t>
        </is>
      </c>
      <c r="E18" s="28" t="n">
        <v>1300</v>
      </c>
      <c r="F18" s="23" t="inlineStr">
        <is>
          <t>陽光照進林下，原生植物長回來</t>
        </is>
      </c>
      <c r="G18" s="23" t="inlineStr">
        <is>
          <t>去背疊圖 1 張（拆 2～4 個物件，依 25／50／75／100% 出現）</t>
        </is>
      </c>
      <c r="H18" s="23" t="inlineStr">
        <is>
          <t>P1</t>
        </is>
      </c>
      <c r="I18" s="29" t="inlineStr">
        <is>
          <t>未開始</t>
        </is>
      </c>
      <c r="J18" s="30" t="inlineStr"/>
    </row>
    <row r="19">
      <c r="A19" s="22" t="inlineStr">
        <is>
          <t>日本・里山</t>
        </is>
      </c>
      <c r="B19" s="31" t="n">
        <v>5</v>
      </c>
      <c r="C19" s="22" t="inlineStr">
        <is>
          <t>jp_stream</t>
        </is>
      </c>
      <c r="D19" s="22" t="inlineStr">
        <is>
          <t>恢復清澈溪流</t>
        </is>
      </c>
      <c r="E19" s="31" t="n">
        <v>1500</v>
      </c>
      <c r="F19" s="22" t="inlineStr">
        <is>
          <t>溪水變清，魚群又游了回來</t>
        </is>
      </c>
      <c r="G19" s="22" t="inlineStr">
        <is>
          <t>去背疊圖 1 張（拆 2～4 個物件，依 25／50／75／100% 出現）</t>
        </is>
      </c>
      <c r="H19" s="22" t="inlineStr">
        <is>
          <t>P1</t>
        </is>
      </c>
      <c r="I19" s="29" t="inlineStr">
        <is>
          <t>未開始</t>
        </is>
      </c>
      <c r="J19" s="30" t="inlineStr"/>
    </row>
    <row r="20">
      <c r="A20" s="23" t="inlineStr">
        <is>
          <t>日本・里山</t>
        </is>
      </c>
      <c r="B20" s="28" t="n">
        <v>6</v>
      </c>
      <c r="C20" s="23" t="inlineStr">
        <is>
          <t>jp_rescue</t>
        </is>
      </c>
      <c r="D20" s="23" t="inlineStr">
        <is>
          <t>設立野生動物保護站</t>
        </is>
      </c>
      <c r="E20" s="28" t="n">
        <v>1600</v>
      </c>
      <c r="F20" s="23" t="inlineStr">
        <is>
          <t>受傷的動物在這裡被好好照顧</t>
        </is>
      </c>
      <c r="G20" s="23" t="inlineStr">
        <is>
          <t>去背疊圖 1 張（拆 2～4 個物件，依 25／50／75／100% 出現）</t>
        </is>
      </c>
      <c r="H20" s="23" t="inlineStr">
        <is>
          <t>P1</t>
        </is>
      </c>
      <c r="I20" s="29" t="inlineStr">
        <is>
          <t>未開始</t>
        </is>
      </c>
      <c r="J20" s="30" t="inlineStr"/>
    </row>
  </sheetData>
  <autoFilter ref="A4:J20"/>
  <mergeCells count="1">
    <mergeCell ref="A2:J2"/>
  </mergeCells>
  <dataValidations count="1">
    <dataValidation sqref="I5:I304" showDropDown="0" showInputMessage="0" showErrorMessage="0" allowBlank="1" errorTitle="狀態" error="請從清單選一個狀態" type="list">
      <formula1>"未開始,製作中,待驗收,已完成,暫代,選配"</formula1>
    </dataValidation>
  </dataValidation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6" customWidth="1" min="2" max="2"/>
    <col width="70" customWidth="1" min="3" max="3"/>
  </cols>
  <sheetData>
    <row r="1">
      <c r="A1" s="21" t="inlineStr">
        <is>
          <t>D-1. 小島場景規格</t>
        </is>
      </c>
    </row>
    <row r="2" ht="32" customHeight="1">
      <c r="A2" s="2" t="inlineStr"/>
    </row>
    <row r="4" ht="30" customHeight="1">
      <c r="A4" s="3" t="inlineStr">
        <is>
          <t>項目</t>
        </is>
      </c>
      <c r="B4" s="3" t="inlineStr">
        <is>
          <t>規格</t>
        </is>
      </c>
      <c r="C4" s="3" t="inlineStr">
        <is>
          <t>說明</t>
        </is>
      </c>
    </row>
    <row r="5">
      <c r="A5" s="22" t="inlineStr">
        <is>
          <t>方向</t>
        </is>
      </c>
      <c r="B5" s="22" t="inlineStr">
        <is>
          <t>2D 分層插畫（不做 3D 模型）</t>
        </is>
      </c>
      <c r="C5" s="22" t="inlineStr">
        <is>
          <t>最省電、最適合直式手機、也最容易用 AI 輔助。</t>
        </is>
      </c>
    </row>
    <row r="6">
      <c r="A6" s="23" t="inlineStr">
        <is>
          <t>畫布</t>
        </is>
      </c>
      <c r="B6" s="23" t="inlineStr">
        <is>
          <t>底圖與每張疊圖同一個畫布大小、完全對齊</t>
        </is>
      </c>
      <c r="C6" s="23" t="inlineStr">
        <is>
          <t>目前底圖 1167×1347；正式版建議 1440×1664。</t>
        </is>
      </c>
    </row>
    <row r="7">
      <c r="A7" s="22" t="inlineStr">
        <is>
          <t>疊圖</t>
        </is>
      </c>
      <c r="B7" s="22" t="inlineStr">
        <is>
          <t>每個工程一張去背圖，裡面拆成 2～4 個物件圖層</t>
        </is>
      </c>
      <c r="C7" s="22" t="inlineStr">
        <is>
          <t>投入 25／50／75／100% 時依序出現（例如小屋：地板 → 牆 → 屋頂 → 亮燈）。</t>
        </is>
      </c>
    </row>
    <row r="8">
      <c r="A8" s="23" t="inlineStr">
        <is>
          <t>動物位置</t>
        </is>
      </c>
      <c r="B8" s="23" t="inlineStr">
        <is>
          <t>前景留 6 個站位不被樹擋住</t>
        </is>
      </c>
      <c r="C8" s="23" t="inlineStr">
        <is>
          <t>程式座標見 src/pages/Island.tsx 的 SPOTS。</t>
        </is>
      </c>
    </row>
    <row r="9">
      <c r="A9" s="22" t="inlineStr">
        <is>
          <t>地面</t>
        </is>
      </c>
      <c r="B9" s="22" t="inlineStr">
        <is>
          <t>從枯黃慢慢轉綠：可給 3 張地面色層（荒廢、一半、完成）</t>
        </is>
      </c>
      <c r="C9" s="22" t="inlineStr">
        <is>
          <t>程式依修復進度交叉淡入。</t>
        </is>
      </c>
    </row>
    <row r="10">
      <c r="A10" s="23" t="inlineStr">
        <is>
          <t>放棄專注</t>
        </is>
      </c>
      <c r="B10" s="23" t="inlineStr">
        <is>
          <t>不用另外畫</t>
        </is>
      </c>
      <c r="C10" s="23" t="inlineStr">
        <is>
          <t>程式把畫面調灰。</t>
        </is>
      </c>
    </row>
    <row r="11">
      <c r="A11" s="22" t="inlineStr">
        <is>
          <t>完成演出</t>
        </is>
      </c>
      <c r="B11" s="22" t="inlineStr">
        <is>
          <t>全部工程完成後的夜晚與螢火蟲</t>
        </is>
      </c>
      <c r="C11" s="22" t="inlineStr">
        <is>
          <t>螢火蟲由程式畫；需要一張夜晚色調版（或由程式調色）。</t>
        </is>
      </c>
    </row>
  </sheetData>
  <autoFilter ref="A4:C11"/>
  <mergeCells count="1">
    <mergeCell ref="A2:C2"/>
  </mergeCell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48" customWidth="1" min="3" max="3"/>
    <col width="26" customWidth="1" min="4" max="4"/>
    <col width="7" customWidth="1" min="5" max="5"/>
    <col width="9" customWidth="1" min="6" max="6"/>
    <col width="30" customWidth="1" min="7" max="7"/>
  </cols>
  <sheetData>
    <row r="1">
      <c r="A1" s="21" t="inlineStr">
        <is>
          <t>E. 望遠鏡畫面的小道具</t>
        </is>
      </c>
    </row>
    <row r="2" ht="32" customHeight="1">
      <c r="A2" s="2" t="inlineStr">
        <is>
          <t>風格同全景；去背 PNG。</t>
        </is>
      </c>
    </row>
    <row r="4" ht="30" customHeight="1">
      <c r="A4" s="3" t="inlineStr">
        <is>
          <t>項目</t>
        </is>
      </c>
      <c r="B4" s="3" t="inlineStr">
        <is>
          <t>代號</t>
        </is>
      </c>
      <c r="C4" s="3" t="inlineStr">
        <is>
          <t>用途</t>
        </is>
      </c>
      <c r="D4" s="3" t="inlineStr">
        <is>
          <t>規格</t>
        </is>
      </c>
      <c r="E4" s="3" t="inlineStr">
        <is>
          <t>優先度</t>
        </is>
      </c>
      <c r="F4" s="3" t="inlineStr">
        <is>
          <t>狀態</t>
        </is>
      </c>
      <c r="G4" s="3" t="inlineStr">
        <is>
          <t>備註</t>
        </is>
      </c>
    </row>
    <row r="5">
      <c r="A5" s="22" t="inlineStr">
        <is>
          <t>倒木</t>
        </is>
      </c>
      <c r="B5" s="22" t="inlineStr">
        <is>
          <t>log</t>
        </is>
      </c>
      <c r="C5" s="22" t="inlineStr">
        <is>
          <t>鳥、貓頭鷹最後停的地方（望遠鏡全景裡，跟著左右掃）</t>
        </is>
      </c>
      <c r="D5" s="22" t="inlineStr">
        <is>
          <t>去背，寬約 800 px</t>
        </is>
      </c>
      <c r="E5" s="22" t="inlineStr">
        <is>
          <t>P1</t>
        </is>
      </c>
      <c r="F5" s="33" t="inlineStr">
        <is>
          <t>暫代</t>
        </is>
      </c>
      <c r="G5" s="30" t="inlineStr">
        <is>
          <t>目前程式畫</t>
        </is>
      </c>
    </row>
    <row r="6">
      <c r="A6" s="23" t="inlineStr">
        <is>
          <t>樹洞或枝頭暗影</t>
        </is>
      </c>
      <c r="B6" s="23" t="inlineStr">
        <is>
          <t>owl_perch</t>
        </is>
      </c>
      <c r="C6" s="23" t="inlineStr">
        <is>
          <t>貓頭鷹夜裡出現的地方（替代倒木）</t>
        </is>
      </c>
      <c r="D6" s="23" t="inlineStr">
        <is>
          <t>去背，寬約 800 px</t>
        </is>
      </c>
      <c r="E6" s="23" t="inlineStr">
        <is>
          <t>P2</t>
        </is>
      </c>
      <c r="F6" s="34" t="inlineStr">
        <is>
          <t>選配</t>
        </is>
      </c>
      <c r="G6" s="30" t="inlineStr"/>
    </row>
    <row r="7">
      <c r="A7" s="22" t="inlineStr">
        <is>
          <t>前景樹枝</t>
        </is>
      </c>
      <c r="B7" s="22" t="inlineStr">
        <is>
          <t>branch</t>
        </is>
      </c>
      <c r="C7" s="22" t="inlineStr">
        <is>
          <t>鳥停的枝頭（替代倒木）</t>
        </is>
      </c>
      <c r="D7" s="22" t="inlineStr">
        <is>
          <t>去背，寬約 1200 px</t>
        </is>
      </c>
      <c r="E7" s="22" t="inlineStr">
        <is>
          <t>P2</t>
        </is>
      </c>
      <c r="F7" s="34" t="inlineStr">
        <is>
          <t>選配</t>
        </is>
      </c>
      <c r="G7" s="30" t="inlineStr">
        <is>
          <t>目前沒有用到</t>
        </is>
      </c>
    </row>
    <row r="8">
      <c r="A8" s="23" t="inlineStr">
        <is>
          <t>地區特色疊圖</t>
        </is>
      </c>
      <c r="B8" s="23" t="inlineStr">
        <is>
          <t>region_overlay</t>
        </is>
      </c>
      <c r="C8" s="23" t="inlineStr">
        <is>
          <t>共用全景上加一點地區特色（例如富士山輪廓、竹子）</t>
        </is>
      </c>
      <c r="D8" s="23" t="inlineStr">
        <is>
          <t>去背，寬約 1500 px</t>
        </is>
      </c>
      <c r="E8" s="23" t="inlineStr">
        <is>
          <t>P2</t>
        </is>
      </c>
      <c r="F8" s="34" t="inlineStr">
        <is>
          <t>選配</t>
        </is>
      </c>
      <c r="G8" s="30" t="inlineStr">
        <is>
          <t>每個地區 1 張</t>
        </is>
      </c>
    </row>
    <row r="9">
      <c r="A9" s="22" t="inlineStr">
        <is>
          <t>腳印</t>
        </is>
      </c>
      <c r="B9" s="22" t="inlineStr">
        <is>
          <t>footprint</t>
        </is>
      </c>
      <c r="C9" s="22" t="inlineStr">
        <is>
          <t>動物被嚇跑後留下的腳印、發現新足跡的演出</t>
        </is>
      </c>
      <c r="D9" s="22" t="inlineStr">
        <is>
          <t>去背，256 px，鳥、獸各 1 種</t>
        </is>
      </c>
      <c r="E9" s="22" t="inlineStr">
        <is>
          <t>P2</t>
        </is>
      </c>
      <c r="F9" s="29" t="inlineStr">
        <is>
          <t>未開始</t>
        </is>
      </c>
      <c r="G9" s="30" t="inlineStr"/>
    </row>
    <row r="10">
      <c r="A10" s="23" t="inlineStr">
        <is>
          <t>羽毛</t>
        </is>
      </c>
      <c r="B10" s="23" t="inlineStr">
        <is>
          <t>feather</t>
        </is>
      </c>
      <c r="C10" s="23" t="inlineStr">
        <is>
          <t>鳥類被嚇跑後留下的羽毛</t>
        </is>
      </c>
      <c r="D10" s="23" t="inlineStr">
        <is>
          <t>去背，256 px</t>
        </is>
      </c>
      <c r="E10" s="23" t="inlineStr">
        <is>
          <t>P2</t>
        </is>
      </c>
      <c r="F10" s="29" t="inlineStr">
        <is>
          <t>未開始</t>
        </is>
      </c>
      <c r="G10" s="30" t="inlineStr"/>
    </row>
  </sheetData>
  <autoFilter ref="A4:G10"/>
  <mergeCells count="1">
    <mergeCell ref="A2:G2"/>
  </mergeCells>
  <dataValidations count="1">
    <dataValidation sqref="F5:F304" showDropDown="0" showInputMessage="0" showErrorMessage="0" allowBlank="1" errorTitle="狀態" error="請從清單選一個狀態" type="list">
      <formula1>"未開始,製作中,待驗收,已完成,暫代,選配"</formula1>
    </dataValidation>
  </dataValidation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H1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6" customWidth="1" min="2" max="2"/>
    <col width="18" customWidth="1" min="3" max="3"/>
    <col width="26" customWidth="1" min="4" max="4"/>
    <col width="26" customWidth="1" min="5" max="5"/>
    <col width="7" customWidth="1" min="6" max="6"/>
    <col width="9" customWidth="1" min="7" max="7"/>
    <col width="40" customWidth="1" min="8" max="8"/>
  </cols>
  <sheetData>
    <row r="1">
      <c r="A1" s="21" t="inlineStr">
        <is>
          <t>F. 介面圖示</t>
        </is>
      </c>
    </row>
    <row r="2" ht="32" customHeight="1">
      <c r="A2" s="2" t="inlineStr">
        <is>
          <t>黏土風格的圖示（金幣、寶石、寶箱）已完成，其餘照同一個風格。線條圖示（選單、按鈕）可以沿用現有的 lucide。</t>
        </is>
      </c>
    </row>
    <row r="4" ht="30" customHeight="1">
      <c r="A4" s="3" t="inlineStr">
        <is>
          <t>群組</t>
        </is>
      </c>
      <c r="B4" s="3" t="inlineStr">
        <is>
          <t>項目</t>
        </is>
      </c>
      <c r="C4" s="3" t="inlineStr">
        <is>
          <t>代號</t>
        </is>
      </c>
      <c r="D4" s="3" t="inlineStr">
        <is>
          <t>規格</t>
        </is>
      </c>
      <c r="E4" s="3" t="inlineStr">
        <is>
          <t>出現位置</t>
        </is>
      </c>
      <c r="F4" s="3" t="inlineStr">
        <is>
          <t>優先度</t>
        </is>
      </c>
      <c r="G4" s="3" t="inlineStr">
        <is>
          <t>狀態</t>
        </is>
      </c>
      <c r="H4" s="3" t="inlineStr">
        <is>
          <t>備註</t>
        </is>
      </c>
    </row>
    <row r="5">
      <c r="A5" s="22" t="inlineStr">
        <is>
          <t>貨幣</t>
        </is>
      </c>
      <c r="B5" s="22" t="inlineStr">
        <is>
          <t>金幣</t>
        </is>
      </c>
      <c r="C5" s="22" t="inlineStr">
        <is>
          <t>coin</t>
        </is>
      </c>
      <c r="D5" s="22" t="inlineStr">
        <is>
          <t>512 px 去背，置中</t>
        </is>
      </c>
      <c r="E5" s="22" t="inlineStr">
        <is>
          <t>錢包、商店、獎勵</t>
        </is>
      </c>
      <c r="F5" s="22" t="inlineStr">
        <is>
          <t>P0</t>
        </is>
      </c>
      <c r="G5" s="35" t="inlineStr">
        <is>
          <t>已完成</t>
        </is>
      </c>
      <c r="H5" s="30" t="inlineStr">
        <is>
          <t>src/assets/icons/coin.webp</t>
        </is>
      </c>
    </row>
    <row r="6">
      <c r="A6" s="23" t="inlineStr">
        <is>
          <t>貨幣</t>
        </is>
      </c>
      <c r="B6" s="23" t="inlineStr">
        <is>
          <t>寶石</t>
        </is>
      </c>
      <c r="C6" s="23" t="inlineStr">
        <is>
          <t>gem</t>
        </is>
      </c>
      <c r="D6" s="23" t="inlineStr">
        <is>
          <t>512 px 去背，置中</t>
        </is>
      </c>
      <c r="E6" s="23" t="inlineStr">
        <is>
          <t>錢包、商店、獎勵</t>
        </is>
      </c>
      <c r="F6" s="23" t="inlineStr">
        <is>
          <t>P0</t>
        </is>
      </c>
      <c r="G6" s="35" t="inlineStr">
        <is>
          <t>已完成</t>
        </is>
      </c>
      <c r="H6" s="30" t="inlineStr">
        <is>
          <t>src/assets/icons/gem.webp</t>
        </is>
      </c>
    </row>
    <row r="7">
      <c r="A7" s="22" t="inlineStr">
        <is>
          <t>寶箱</t>
        </is>
      </c>
      <c r="B7" s="22" t="inlineStr">
        <is>
          <t>木箱（每日挑戰）關閉</t>
        </is>
      </c>
      <c r="C7" s="22" t="inlineStr">
        <is>
          <t>chest-wood</t>
        </is>
      </c>
      <c r="D7" s="22" t="inlineStr">
        <is>
          <t>512 px 去背</t>
        </is>
      </c>
      <c r="E7" s="22" t="inlineStr">
        <is>
          <t>挑戰卡、開寶箱</t>
        </is>
      </c>
      <c r="F7" s="22" t="inlineStr">
        <is>
          <t>P0</t>
        </is>
      </c>
      <c r="G7" s="35" t="inlineStr">
        <is>
          <t>已完成</t>
        </is>
      </c>
      <c r="H7" s="30" t="inlineStr"/>
    </row>
    <row r="8">
      <c r="A8" s="23" t="inlineStr">
        <is>
          <t>寶箱</t>
        </is>
      </c>
      <c r="B8" s="23" t="inlineStr">
        <is>
          <t>綠寶石箱（新手任務）關閉</t>
        </is>
      </c>
      <c r="C8" s="23" t="inlineStr">
        <is>
          <t>chest-green</t>
        </is>
      </c>
      <c r="D8" s="23" t="inlineStr">
        <is>
          <t>512 px 去背</t>
        </is>
      </c>
      <c r="E8" s="23" t="inlineStr">
        <is>
          <t>新手任務、開寶箱</t>
        </is>
      </c>
      <c r="F8" s="23" t="inlineStr">
        <is>
          <t>P0</t>
        </is>
      </c>
      <c r="G8" s="35" t="inlineStr">
        <is>
          <t>已完成</t>
        </is>
      </c>
      <c r="H8" s="30" t="inlineStr"/>
    </row>
    <row r="9">
      <c r="A9" s="22" t="inlineStr">
        <is>
          <t>寶箱</t>
        </is>
      </c>
      <c r="B9" s="22" t="inlineStr">
        <is>
          <t>紫金箱（本月挑戰）關閉</t>
        </is>
      </c>
      <c r="C9" s="22" t="inlineStr">
        <is>
          <t>chest-royal</t>
        </is>
      </c>
      <c r="D9" s="22" t="inlineStr">
        <is>
          <t>512 px 去背</t>
        </is>
      </c>
      <c r="E9" s="22" t="inlineStr">
        <is>
          <t>本月挑戰、開寶箱</t>
        </is>
      </c>
      <c r="F9" s="22" t="inlineStr">
        <is>
          <t>P0</t>
        </is>
      </c>
      <c r="G9" s="35" t="inlineStr">
        <is>
          <t>已完成</t>
        </is>
      </c>
      <c r="H9" s="30" t="inlineStr"/>
    </row>
    <row r="10">
      <c r="A10" s="23" t="inlineStr">
        <is>
          <t>寶箱</t>
        </is>
      </c>
      <c r="B10" s="23" t="inlineStr">
        <is>
          <t>木箱 打開</t>
        </is>
      </c>
      <c r="C10" s="23" t="inlineStr">
        <is>
          <t>chest-wood-open</t>
        </is>
      </c>
      <c r="D10" s="23" t="inlineStr">
        <is>
          <t>512 px 去背，和關閉的對齊</t>
        </is>
      </c>
      <c r="E10" s="23" t="inlineStr">
        <is>
          <t>領過的挑戰、開寶箱的最後一格</t>
        </is>
      </c>
      <c r="F10" s="23" t="inlineStr">
        <is>
          <t>P1</t>
        </is>
      </c>
      <c r="G10" s="29" t="inlineStr">
        <is>
          <t>未開始</t>
        </is>
      </c>
      <c r="H10" s="30" t="inlineStr">
        <is>
          <t>使用者有提供圖，但檔案沒有傳成功，要再傳一次</t>
        </is>
      </c>
    </row>
    <row r="11">
      <c r="A11" s="22" t="inlineStr">
        <is>
          <t>寶箱</t>
        </is>
      </c>
      <c r="B11" s="22" t="inlineStr">
        <is>
          <t>綠寶石箱 打開</t>
        </is>
      </c>
      <c r="C11" s="22" t="inlineStr">
        <is>
          <t>chest-green-open</t>
        </is>
      </c>
      <c r="D11" s="22" t="inlineStr">
        <is>
          <t>同上</t>
        </is>
      </c>
      <c r="E11" s="22" t="inlineStr">
        <is>
          <t>同上</t>
        </is>
      </c>
      <c r="F11" s="22" t="inlineStr">
        <is>
          <t>P1</t>
        </is>
      </c>
      <c r="G11" s="29" t="inlineStr">
        <is>
          <t>未開始</t>
        </is>
      </c>
      <c r="H11" s="30" t="inlineStr">
        <is>
          <t>同上</t>
        </is>
      </c>
    </row>
    <row r="12">
      <c r="A12" s="23" t="inlineStr">
        <is>
          <t>寶箱</t>
        </is>
      </c>
      <c r="B12" s="23" t="inlineStr">
        <is>
          <t>紫金箱 打開</t>
        </is>
      </c>
      <c r="C12" s="23" t="inlineStr">
        <is>
          <t>chest-royal-open</t>
        </is>
      </c>
      <c r="D12" s="23" t="inlineStr">
        <is>
          <t>同上</t>
        </is>
      </c>
      <c r="E12" s="23" t="inlineStr">
        <is>
          <t>同上</t>
        </is>
      </c>
      <c r="F12" s="23" t="inlineStr">
        <is>
          <t>P1</t>
        </is>
      </c>
      <c r="G12" s="29" t="inlineStr">
        <is>
          <t>未開始</t>
        </is>
      </c>
      <c r="H12" s="30" t="inlineStr">
        <is>
          <t>同上</t>
        </is>
      </c>
    </row>
    <row r="13">
      <c r="A13" s="22" t="inlineStr">
        <is>
          <t>貨幣</t>
        </is>
      </c>
      <c r="B13" s="22" t="inlineStr">
        <is>
          <t>修復點數</t>
        </is>
      </c>
      <c r="C13" s="22" t="inlineStr">
        <is>
          <t>point</t>
        </is>
      </c>
      <c r="D13" s="22" t="inlineStr">
        <is>
          <t>512 px 去背</t>
        </is>
      </c>
      <c r="E13" s="22" t="inlineStr">
        <is>
          <t>修復工程、結算</t>
        </is>
      </c>
      <c r="F13" s="22" t="inlineStr">
        <is>
          <t>P2</t>
        </is>
      </c>
      <c r="G13" s="29" t="inlineStr">
        <is>
          <t>未開始</t>
        </is>
      </c>
      <c r="H13" s="30" t="inlineStr">
        <is>
          <t>目前用文字</t>
        </is>
      </c>
    </row>
    <row r="14">
      <c r="A14" s="23" t="inlineStr">
        <is>
          <t>環境音</t>
        </is>
      </c>
      <c r="B14" s="23" t="inlineStr">
        <is>
          <t>森林微風、林間鳥鳴、草叢蟲鳴、泉水潺潺、雨後滴答、夏夜森林、林間蛙鳴（7 個）</t>
        </is>
      </c>
      <c r="C14" s="23" t="inlineStr">
        <is>
          <t>sound_*</t>
        </is>
      </c>
      <c r="D14" s="23" t="inlineStr">
        <is>
          <t>256 px 去背或 SVG</t>
        </is>
      </c>
      <c r="E14" s="23" t="inlineStr">
        <is>
          <t>環境音選單、商店</t>
        </is>
      </c>
      <c r="F14" s="23" t="inlineStr">
        <is>
          <t>P1</t>
        </is>
      </c>
      <c r="G14" s="29" t="inlineStr">
        <is>
          <t>未開始</t>
        </is>
      </c>
      <c r="H14" s="30" t="inlineStr">
        <is>
          <t>目前用 emoji</t>
        </is>
      </c>
    </row>
    <row r="15">
      <c r="A15" s="22" t="inlineStr">
        <is>
          <t>頭像</t>
        </is>
      </c>
      <c r="B15" s="22" t="inlineStr">
        <is>
          <t>葉子、小花、貝殼、太陽、月亮、水滴、蘑菇、星星（8 個）</t>
        </is>
      </c>
      <c r="C15" s="22" t="inlineStr">
        <is>
          <t>avatar_*</t>
        </is>
      </c>
      <c r="D15" s="22" t="inlineStr">
        <is>
          <t>256 px 去背，圓形構圖</t>
        </is>
      </c>
      <c r="E15" s="22" t="inlineStr">
        <is>
          <t>設定、好友、選單</t>
        </is>
      </c>
      <c r="F15" s="22" t="inlineStr">
        <is>
          <t>P1</t>
        </is>
      </c>
      <c r="G15" s="29" t="inlineStr">
        <is>
          <t>未開始</t>
        </is>
      </c>
      <c r="H15" s="30" t="inlineStr">
        <is>
          <t>目前用 emoji</t>
        </is>
      </c>
    </row>
    <row r="16">
      <c r="A16" s="23" t="inlineStr">
        <is>
          <t>選單</t>
        </is>
      </c>
      <c r="B16" s="23" t="inlineStr">
        <is>
          <t>大廳、我的小島、觀察圖鑑、任務、專注紀錄、商店、好友、時間守護、設定（9 個）</t>
        </is>
      </c>
      <c r="C16" s="23" t="inlineStr">
        <is>
          <t>nav_*</t>
        </is>
      </c>
      <c r="D16" s="23" t="inlineStr">
        <is>
          <t>SVG 線條圖示，24 px 網格</t>
        </is>
      </c>
      <c r="E16" s="23" t="inlineStr">
        <is>
          <t>左側選單</t>
        </is>
      </c>
      <c r="F16" s="23" t="inlineStr">
        <is>
          <t>P2</t>
        </is>
      </c>
      <c r="G16" s="33" t="inlineStr">
        <is>
          <t>暫代</t>
        </is>
      </c>
      <c r="H16" s="30" t="inlineStr">
        <is>
          <t>目前用 lucide 線條圖示，可以沿用</t>
        </is>
      </c>
    </row>
    <row r="17">
      <c r="A17" s="22" t="inlineStr">
        <is>
          <t>其他</t>
        </is>
      </c>
      <c r="B17" s="22" t="inlineStr">
        <is>
          <t>望遠鏡、腳印、盾牌、鎖頭、暫停／播放／停止</t>
        </is>
      </c>
      <c r="C17" s="22" t="inlineStr">
        <is>
          <t>icon_*</t>
        </is>
      </c>
      <c r="D17" s="22" t="inlineStr">
        <is>
          <t>SVG 線條圖示</t>
        </is>
      </c>
      <c r="E17" s="22" t="inlineStr">
        <is>
          <t>各處</t>
        </is>
      </c>
      <c r="F17" s="22" t="inlineStr">
        <is>
          <t>P2</t>
        </is>
      </c>
      <c r="G17" s="33" t="inlineStr">
        <is>
          <t>暫代</t>
        </is>
      </c>
      <c r="H17" s="30" t="inlineStr">
        <is>
          <t>目前用 lucide 線條圖示，可以沿用</t>
        </is>
      </c>
    </row>
    <row r="18">
      <c r="A18" s="23" t="inlineStr">
        <is>
          <t>國旗</t>
        </is>
      </c>
      <c r="B18" s="23" t="inlineStr">
        <is>
          <t>台灣、日本（之後新地區）</t>
        </is>
      </c>
      <c r="C18" s="23" t="inlineStr">
        <is>
          <t>—</t>
        </is>
      </c>
      <c r="D18" s="23" t="inlineStr">
        <is>
          <t>程式畫的 SVG</t>
        </is>
      </c>
      <c r="E18" s="23" t="inlineStr">
        <is>
          <t>動物格子、地區切換</t>
        </is>
      </c>
      <c r="F18" s="23" t="inlineStr">
        <is>
          <t>—</t>
        </is>
      </c>
      <c r="G18" s="35" t="inlineStr">
        <is>
          <t>已完成</t>
        </is>
      </c>
      <c r="H18" s="30" t="inlineStr">
        <is>
          <t>不用畫</t>
        </is>
      </c>
    </row>
  </sheetData>
  <autoFilter ref="A4:H18"/>
  <mergeCells count="1">
    <mergeCell ref="A2:H2"/>
  </mergeCells>
  <dataValidations count="1">
    <dataValidation sqref="G5:G304" showDropDown="0" showInputMessage="0" showErrorMessage="0" allowBlank="1" errorTitle="狀態" error="請從清單選一個狀態" type="list">
      <formula1>"未開始,製作中,待驗收,已完成,暫代,選配"</formula1>
    </dataValidation>
  </dataValidations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1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4" customWidth="1" min="2" max="2"/>
    <col width="46" customWidth="1" min="3" max="3"/>
    <col width="7" customWidth="1" min="4" max="4"/>
    <col width="9" customWidth="1" min="5" max="5"/>
    <col width="50" customWidth="1" min="6" max="6"/>
  </cols>
  <sheetData>
    <row r="1">
      <c r="A1" s="21" t="inlineStr">
        <is>
          <t>G. 插圖、App 圖示與上架素材</t>
        </is>
      </c>
    </row>
    <row r="2" ht="32" customHeight="1">
      <c r="A2" s="2" t="inlineStr"/>
    </row>
    <row r="4" ht="30" customHeight="1">
      <c r="A4" s="3" t="inlineStr">
        <is>
          <t>類別</t>
        </is>
      </c>
      <c r="B4" s="3" t="inlineStr">
        <is>
          <t>項目</t>
        </is>
      </c>
      <c r="C4" s="3" t="inlineStr">
        <is>
          <t>規格</t>
        </is>
      </c>
      <c r="D4" s="3" t="inlineStr">
        <is>
          <t>優先度</t>
        </is>
      </c>
      <c r="E4" s="3" t="inlineStr">
        <is>
          <t>狀態</t>
        </is>
      </c>
      <c r="F4" s="3" t="inlineStr">
        <is>
          <t>備註</t>
        </is>
      </c>
    </row>
    <row r="5">
      <c r="A5" s="22" t="inlineStr">
        <is>
          <t>App</t>
        </is>
      </c>
      <c r="B5" s="22" t="inlineStr">
        <is>
          <t>App 圖示</t>
        </is>
      </c>
      <c r="C5" s="22" t="inlineStr">
        <is>
          <t>1024×1024；另附 Android 自適應圖示的前景（主體在中間 66%）＋背景色</t>
        </is>
      </c>
      <c r="D5" s="22" t="inlineStr">
        <is>
          <t>P0</t>
        </is>
      </c>
      <c r="E5" s="33" t="inlineStr">
        <is>
          <t>暫代</t>
        </is>
      </c>
      <c r="F5" s="30" t="inlineStr">
        <is>
          <t>目前是舊的溫室主題小島</t>
        </is>
      </c>
    </row>
    <row r="6">
      <c r="A6" s="23" t="inlineStr">
        <is>
          <t>App</t>
        </is>
      </c>
      <c r="B6" s="23" t="inlineStr">
        <is>
          <t>啟動畫面</t>
        </is>
      </c>
      <c r="C6" s="23" t="inlineStr">
        <is>
          <t>圖示置中＋底色 #FBF6EC</t>
        </is>
      </c>
      <c r="D6" s="23" t="inlineStr">
        <is>
          <t>P0</t>
        </is>
      </c>
      <c r="E6" s="33" t="inlineStr">
        <is>
          <t>暫代</t>
        </is>
      </c>
      <c r="F6" s="30" t="inlineStr"/>
    </row>
    <row r="7">
      <c r="A7" s="22" t="inlineStr">
        <is>
          <t>App</t>
        </is>
      </c>
      <c r="B7" s="22" t="inlineStr">
        <is>
          <t>通知小圖示</t>
        </is>
      </c>
      <c r="C7" s="22" t="inlineStr">
        <is>
          <t>24×24 dp 單色（白色＋透明）簡單輪廓</t>
        </is>
      </c>
      <c r="D7" s="22" t="inlineStr">
        <is>
          <t>P0</t>
        </is>
      </c>
      <c r="E7" s="33" t="inlineStr">
        <is>
          <t>暫代</t>
        </is>
      </c>
      <c r="F7" s="30" t="inlineStr">
        <is>
          <t>目前是程式畫的望遠鏡，可以沿用</t>
        </is>
      </c>
    </row>
    <row r="8">
      <c r="A8" s="23" t="inlineStr">
        <is>
          <t>Google Play</t>
        </is>
      </c>
      <c r="B8" s="23" t="inlineStr">
        <is>
          <t>主題圖片（feature graphic）</t>
        </is>
      </c>
      <c r="C8" s="23" t="inlineStr">
        <is>
          <t>1024×500</t>
        </is>
      </c>
      <c r="D8" s="23" t="inlineStr">
        <is>
          <t>P0</t>
        </is>
      </c>
      <c r="E8" s="29" t="inlineStr">
        <is>
          <t>未開始</t>
        </is>
      </c>
      <c r="F8" s="30" t="inlineStr">
        <is>
          <t>上架必填</t>
        </is>
      </c>
    </row>
    <row r="9">
      <c r="A9" s="22" t="inlineStr">
        <is>
          <t>Google Play</t>
        </is>
      </c>
      <c r="B9" s="22" t="inlineStr">
        <is>
          <t>手機截圖</t>
        </is>
      </c>
      <c r="C9" s="22" t="inlineStr">
        <is>
          <t>直式 1080×1920 以上，6～8 張，可加標語框</t>
        </is>
      </c>
      <c r="D9" s="22" t="inlineStr">
        <is>
          <t>P0</t>
        </is>
      </c>
      <c r="E9" s="29" t="inlineStr">
        <is>
          <t>未開始</t>
        </is>
      </c>
      <c r="F9" s="30" t="inlineStr">
        <is>
          <t>建議：大廳、望遠鏡專注、遇見動物、我的小島、觀察圖鑑地圖、專注紀錄、上週回顧、時間守護</t>
        </is>
      </c>
    </row>
    <row r="10">
      <c r="A10" s="23" t="inlineStr">
        <is>
          <t>Google Play</t>
        </is>
      </c>
      <c r="B10" s="23" t="inlineStr">
        <is>
          <t>商店圖示</t>
        </is>
      </c>
      <c r="C10" s="23" t="inlineStr">
        <is>
          <t>512×512</t>
        </is>
      </c>
      <c r="D10" s="23" t="inlineStr">
        <is>
          <t>P0</t>
        </is>
      </c>
      <c r="E10" s="29" t="inlineStr">
        <is>
          <t>未開始</t>
        </is>
      </c>
      <c r="F10" s="30" t="inlineStr">
        <is>
          <t>可用 App 圖示</t>
        </is>
      </c>
    </row>
    <row r="11">
      <c r="A11" s="22" t="inlineStr">
        <is>
          <t>新手引導</t>
        </is>
      </c>
      <c r="B11" s="22" t="inlineStr">
        <is>
          <t>首頁大插圖、故事 3 張、第一次探索 1 張（共 5 張）</t>
        </is>
      </c>
      <c r="C11" s="22" t="inlineStr">
        <is>
          <t>1080×1080 去背或滿版</t>
        </is>
      </c>
      <c r="D11" s="22" t="inlineStr">
        <is>
          <t>P1</t>
        </is>
      </c>
      <c r="E11" s="33" t="inlineStr">
        <is>
          <t>暫代</t>
        </is>
      </c>
      <c r="F11" s="30" t="inlineStr">
        <is>
          <t>目前用動物圖拼湊</t>
        </is>
      </c>
    </row>
    <row r="12">
      <c r="A12" s="23" t="inlineStr">
        <is>
          <t>時間守護</t>
        </is>
      </c>
      <c r="B12" s="23" t="inlineStr">
        <is>
          <t>引導 4 頁的手機情境（問號、滑不完的動態、守護動物＋盾牌、上鎖的 App）</t>
        </is>
      </c>
      <c r="C12" s="23" t="inlineStr">
        <is>
          <t>每張 600×1066（手機螢幕比例）</t>
        </is>
      </c>
      <c r="D12" s="23" t="inlineStr">
        <is>
          <t>P2</t>
        </is>
      </c>
      <c r="E12" s="33" t="inlineStr">
        <is>
          <t>暫代</t>
        </is>
      </c>
      <c r="F12" s="30" t="inlineStr">
        <is>
          <t>目前用程式畫，可以沿用</t>
        </is>
      </c>
    </row>
    <row r="13">
      <c r="A13" s="22" t="inlineStr">
        <is>
          <t>時間守護</t>
        </is>
      </c>
      <c r="B13" s="22" t="inlineStr">
        <is>
          <t>「先停一下」攔截畫面插圖</t>
        </is>
      </c>
      <c r="C13" s="22" t="inlineStr">
        <is>
          <t>1080×1080 去背</t>
        </is>
      </c>
      <c r="D13" s="22" t="inlineStr">
        <is>
          <t>P1</t>
        </is>
      </c>
      <c r="E13" s="33" t="inlineStr">
        <is>
          <t>暫代</t>
        </is>
      </c>
      <c r="F13" s="30" t="inlineStr">
        <is>
          <t>目前用守護動物</t>
        </is>
      </c>
    </row>
    <row r="14">
      <c r="A14" s="23" t="inlineStr">
        <is>
          <t>深度專注</t>
        </is>
      </c>
      <c r="B14" s="23" t="inlineStr">
        <is>
          <t>「專注中」攔截畫面：動物在附近、被打擾</t>
        </is>
      </c>
      <c r="C14" s="23" t="inlineStr">
        <is>
          <t>1080×1080 去背</t>
        </is>
      </c>
      <c r="D14" s="23" t="inlineStr">
        <is>
          <t>P1</t>
        </is>
      </c>
      <c r="E14" s="29" t="inlineStr">
        <is>
          <t>未開始</t>
        </is>
      </c>
      <c r="F14" s="30" t="inlineStr"/>
    </row>
    <row r="15">
      <c r="A15" s="22" t="inlineStr">
        <is>
          <t>上週回顧</t>
        </is>
      </c>
      <c r="B15" s="22" t="inlineStr">
        <is>
          <t>7 頁的頁首插圖或底圖</t>
        </is>
      </c>
      <c r="C15" s="22" t="inlineStr">
        <is>
          <t>1080×600</t>
        </is>
      </c>
      <c r="D15" s="22" t="inlineStr">
        <is>
          <t>P2</t>
        </is>
      </c>
      <c r="E15" s="29" t="inlineStr">
        <is>
          <t>未開始</t>
        </is>
      </c>
      <c r="F15" s="30" t="inlineStr">
        <is>
          <t>總時數、專注天數、最佳日、陪你最久、和前一週比、排名、總結卡</t>
        </is>
      </c>
    </row>
    <row r="16">
      <c r="A16" s="23" t="inlineStr">
        <is>
          <t>分享圖</t>
        </is>
      </c>
      <c r="B16" s="23" t="inlineStr">
        <is>
          <t>三種分享卡版型：單次專注、期間統計、上週回顧</t>
        </is>
      </c>
      <c r="C16" s="23" t="inlineStr">
        <is>
          <t>1080×1920</t>
        </is>
      </c>
      <c r="D16" s="23" t="inlineStr">
        <is>
          <t>P2</t>
        </is>
      </c>
      <c r="E16" s="29" t="inlineStr">
        <is>
          <t>未開始</t>
        </is>
      </c>
      <c r="F16" s="30" t="inlineStr"/>
    </row>
    <row r="17">
      <c r="A17" s="22" t="inlineStr">
        <is>
          <t>商店</t>
        </is>
      </c>
      <c r="B17" s="22" t="inlineStr">
        <is>
          <t>Plus 會員介紹插圖</t>
        </is>
      </c>
      <c r="C17" s="22" t="inlineStr">
        <is>
          <t>1080×600</t>
        </is>
      </c>
      <c r="D17" s="22" t="inlineStr">
        <is>
          <t>P2</t>
        </is>
      </c>
      <c r="E17" s="29" t="inlineStr">
        <is>
          <t>未開始</t>
        </is>
      </c>
      <c r="F17" s="30" t="inlineStr">
        <is>
          <t>要和金幣動物有區別</t>
        </is>
      </c>
    </row>
    <row r="18">
      <c r="A18" s="23" t="inlineStr">
        <is>
          <t>其他</t>
        </is>
      </c>
      <c r="B18" s="23" t="inlineStr">
        <is>
          <t>WebView 太舊的提示頁</t>
        </is>
      </c>
      <c r="C18" s="23" t="inlineStr">
        <is>
          <t>600×600</t>
        </is>
      </c>
      <c r="D18" s="23" t="inlineStr">
        <is>
          <t>P2</t>
        </is>
      </c>
      <c r="E18" s="29" t="inlineStr">
        <is>
          <t>未開始</t>
        </is>
      </c>
      <c r="F18" s="30" t="inlineStr"/>
    </row>
  </sheetData>
  <autoFilter ref="A4:F18"/>
  <mergeCells count="1">
    <mergeCell ref="A2:F2"/>
  </mergeCells>
  <dataValidations count="1">
    <dataValidation sqref="E5:E304" showDropDown="0" showInputMessage="0" showErrorMessage="0" allowBlank="1" errorTitle="狀態" error="請從清單選一個狀態" type="list">
      <formula1>"未開始,製作中,待驗收,已完成,暫代,選配"</formula1>
    </dataValidation>
  </dataValidations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8" customWidth="1" min="2" max="2"/>
    <col width="12" customWidth="1" min="3" max="3"/>
    <col width="7" customWidth="1" min="4" max="4"/>
    <col width="9" customWidth="1" min="5" max="5"/>
    <col width="40" customWidth="1" min="6" max="6"/>
  </cols>
  <sheetData>
    <row r="1">
      <c r="A1" s="21" t="inlineStr">
        <is>
          <t>H. 地圖</t>
        </is>
      </c>
    </row>
    <row r="2" ht="32" customHeight="1">
      <c r="A2" s="2" t="inlineStr"/>
    </row>
    <row r="4" ht="30" customHeight="1">
      <c r="A4" s="3" t="inlineStr">
        <is>
          <t>項目</t>
        </is>
      </c>
      <c r="B4" s="3" t="inlineStr">
        <is>
          <t>檔案</t>
        </is>
      </c>
      <c r="C4" s="3" t="inlineStr">
        <is>
          <t>尺寸</t>
        </is>
      </c>
      <c r="D4" s="3" t="inlineStr">
        <is>
          <t>優先度</t>
        </is>
      </c>
      <c r="E4" s="3" t="inlineStr">
        <is>
          <t>狀態</t>
        </is>
      </c>
      <c r="F4" s="3" t="inlineStr">
        <is>
          <t>備註</t>
        </is>
      </c>
    </row>
    <row r="5">
      <c r="A5" s="22" t="inlineStr">
        <is>
          <t>區域切換的世界地圖</t>
        </is>
      </c>
      <c r="B5" s="22" t="inlineStr">
        <is>
          <t>src/assets/scenes/world-map.webp</t>
        </is>
      </c>
      <c r="C5" s="22" t="inlineStr">
        <is>
          <t>1816×866</t>
        </is>
      </c>
      <c r="D5" s="22" t="inlineStr">
        <is>
          <t>P0</t>
        </is>
      </c>
      <c r="E5" s="35" t="inlineStr">
        <is>
          <t>已完成</t>
        </is>
      </c>
      <c r="F5" s="30" t="inlineStr">
        <is>
          <t>新增區域時要補標記位置</t>
        </is>
      </c>
    </row>
    <row r="6">
      <c r="A6" s="23" t="inlineStr">
        <is>
          <t>觀察圖鑑：台灣 3D 地圖貼圖</t>
        </is>
      </c>
      <c r="B6" s="23" t="inlineStr">
        <is>
          <t>src/assets/scenes/map-tw.webp</t>
        </is>
      </c>
      <c r="C6" s="23" t="inlineStr">
        <is>
          <t>1024×1536</t>
        </is>
      </c>
      <c r="D6" s="23" t="inlineStr">
        <is>
          <t>P1</t>
        </is>
      </c>
      <c r="E6" s="35" t="inlineStr">
        <is>
          <t>已完成</t>
        </is>
      </c>
      <c r="F6" s="30" t="inlineStr">
        <is>
          <t>GPT 畫，已簡化 30%</t>
        </is>
      </c>
    </row>
    <row r="7">
      <c r="A7" s="22" t="inlineStr">
        <is>
          <t>觀察圖鑑：日本 3D 地圖貼圖</t>
        </is>
      </c>
      <c r="B7" s="22" t="inlineStr">
        <is>
          <t>src/assets/scenes/map-jp.webp</t>
        </is>
      </c>
      <c r="C7" s="22" t="inlineStr">
        <is>
          <t>1254×1254</t>
        </is>
      </c>
      <c r="D7" s="22" t="inlineStr">
        <is>
          <t>P1</t>
        </is>
      </c>
      <c r="E7" s="35" t="inlineStr">
        <is>
          <t>已完成</t>
        </is>
      </c>
      <c r="F7" s="30" t="inlineStr">
        <is>
          <t>中間只有富士山與立山連峰</t>
        </is>
      </c>
    </row>
    <row r="8">
      <c r="A8" s="23" t="inlineStr">
        <is>
          <t>之後新地區的 3D 地圖貼圖</t>
        </is>
      </c>
      <c r="B8" s="23" t="inlineStr">
        <is>
          <t>src/assets/scenes/map-{地區}.webp</t>
        </is>
      </c>
      <c r="C8" s="23" t="inlineStr">
        <is>
          <t>依地形</t>
        </is>
      </c>
      <c r="D8" s="23" t="inlineStr">
        <is>
          <t>P2</t>
        </is>
      </c>
      <c r="E8" s="29" t="inlineStr">
        <is>
          <t>未開始</t>
        </is>
      </c>
      <c r="F8" s="30" t="inlineStr">
        <is>
          <t>用地形資料畫配置圖給 GPT 對位</t>
        </is>
      </c>
    </row>
  </sheetData>
  <autoFilter ref="A4:F8"/>
  <mergeCells count="1">
    <mergeCell ref="A2:F2"/>
  </mergeCells>
  <dataValidations count="1">
    <dataValidation sqref="E5:E304" showDropDown="0" showInputMessage="0" showErrorMessage="0" allowBlank="1" errorTitle="狀態" error="請從清單選一個狀態" type="list">
      <formula1>"未開始,製作中,待驗收,已完成,暫代,選配"</formula1>
    </dataValidation>
  </dataValidations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E1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6" customWidth="1" min="1" max="1"/>
    <col width="40" customWidth="1" min="2" max="2"/>
    <col width="12" customWidth="1" min="3" max="3"/>
    <col width="11" customWidth="1" min="4" max="4"/>
    <col width="30" customWidth="1" min="5" max="5"/>
  </cols>
  <sheetData>
    <row r="1">
      <c r="A1" s="21" t="inlineStr">
        <is>
          <t>現有素材盤點</t>
        </is>
      </c>
    </row>
    <row r="2" ht="32" customHeight="1">
      <c r="A2" s="2" t="inlineStr">
        <is>
          <t>2026-10-28 專案裡已經有的圖（不含程式畫的臨時圖）。</t>
        </is>
      </c>
    </row>
    <row r="4" ht="30" customHeight="1">
      <c r="A4" s="3" t="inlineStr">
        <is>
          <t>檔案</t>
        </is>
      </c>
      <c r="B4" s="3" t="inlineStr">
        <is>
          <t>用途</t>
        </is>
      </c>
      <c r="C4" s="3" t="inlineStr">
        <is>
          <t>尺寸</t>
        </is>
      </c>
      <c r="D4" s="3" t="inlineStr">
        <is>
          <t>大小（KB）</t>
        </is>
      </c>
      <c r="E4" s="3" t="inlineStr">
        <is>
          <t>狀態</t>
        </is>
      </c>
    </row>
    <row r="5">
      <c r="A5" s="22" t="inlineStr">
        <is>
          <t>src/assets/icons/coin.webp</t>
        </is>
      </c>
      <c r="B5" s="22" t="inlineStr">
        <is>
          <t>金幣</t>
        </is>
      </c>
      <c r="C5" s="22" t="inlineStr">
        <is>
          <t>160×160</t>
        </is>
      </c>
      <c r="D5" s="31" t="n">
        <v>8</v>
      </c>
      <c r="E5" s="22" t="inlineStr">
        <is>
          <t>使用中</t>
        </is>
      </c>
    </row>
    <row r="6">
      <c r="A6" s="23" t="inlineStr">
        <is>
          <t>src/assets/icons/gem.webp</t>
        </is>
      </c>
      <c r="B6" s="23" t="inlineStr">
        <is>
          <t>寶石</t>
        </is>
      </c>
      <c r="C6" s="23" t="inlineStr">
        <is>
          <t>160×160</t>
        </is>
      </c>
      <c r="D6" s="28" t="n">
        <v>6</v>
      </c>
      <c r="E6" s="23" t="inlineStr">
        <is>
          <t>使用中</t>
        </is>
      </c>
    </row>
    <row r="7">
      <c r="A7" s="22" t="inlineStr">
        <is>
          <t>src/assets/icons/chest-wood.webp</t>
        </is>
      </c>
      <c r="B7" s="22" t="inlineStr">
        <is>
          <t>木箱</t>
        </is>
      </c>
      <c r="C7" s="22" t="inlineStr">
        <is>
          <t>512×512</t>
        </is>
      </c>
      <c r="D7" s="31" t="n">
        <v>33.5</v>
      </c>
      <c r="E7" s="22" t="inlineStr">
        <is>
          <t>使用中</t>
        </is>
      </c>
    </row>
    <row r="8">
      <c r="A8" s="23" t="inlineStr">
        <is>
          <t>src/assets/icons/chest-green.webp</t>
        </is>
      </c>
      <c r="B8" s="23" t="inlineStr">
        <is>
          <t>綠寶石箱</t>
        </is>
      </c>
      <c r="C8" s="23" t="inlineStr">
        <is>
          <t>512×512</t>
        </is>
      </c>
      <c r="D8" s="28" t="n">
        <v>38.2</v>
      </c>
      <c r="E8" s="23" t="inlineStr">
        <is>
          <t>使用中</t>
        </is>
      </c>
    </row>
    <row r="9">
      <c r="A9" s="22" t="inlineStr">
        <is>
          <t>src/assets/icons/chest-royal.webp</t>
        </is>
      </c>
      <c r="B9" s="22" t="inlineStr">
        <is>
          <t>紫金箱</t>
        </is>
      </c>
      <c r="C9" s="22" t="inlineStr">
        <is>
          <t>512×512</t>
        </is>
      </c>
      <c r="D9" s="31" t="n">
        <v>49.2</v>
      </c>
      <c r="E9" s="22" t="inlineStr">
        <is>
          <t>使用中</t>
        </is>
      </c>
    </row>
    <row r="10">
      <c r="A10" s="23" t="inlineStr">
        <is>
          <t>src/assets/scenes/focus-done.webp</t>
        </is>
      </c>
      <c r="B10" s="23" t="inlineStr">
        <is>
          <t>專注完成卡片；望遠鏡原型的暫代全景</t>
        </is>
      </c>
      <c r="C10" s="23" t="inlineStr">
        <is>
          <t>1697×927</t>
        </is>
      </c>
      <c r="D10" s="28" t="n">
        <v>145.6</v>
      </c>
      <c r="E10" s="23" t="inlineStr">
        <is>
          <t>使用中（暫代）</t>
        </is>
      </c>
    </row>
    <row r="11">
      <c r="A11" s="22" t="inlineStr">
        <is>
          <t>src/assets/scenes/forest.webp</t>
        </is>
      </c>
      <c r="B11" s="22" t="inlineStr">
        <is>
          <t>我的小島：森林</t>
        </is>
      </c>
      <c r="C11" s="22" t="inlineStr">
        <is>
          <t>1167×1347</t>
        </is>
      </c>
      <c r="D11" s="31" t="n">
        <v>105</v>
      </c>
      <c r="E11" s="22" t="inlineStr">
        <is>
          <t>使用中（暫代）</t>
        </is>
      </c>
    </row>
    <row r="12">
      <c r="A12" s="23" t="inlineStr">
        <is>
          <t>src/assets/scenes/world-map.webp</t>
        </is>
      </c>
      <c r="B12" s="23" t="inlineStr">
        <is>
          <t>區域切換的世界地圖</t>
        </is>
      </c>
      <c r="C12" s="23" t="inlineStr">
        <is>
          <t>1200×572</t>
        </is>
      </c>
      <c r="D12" s="28" t="n">
        <v>89.5</v>
      </c>
      <c r="E12" s="23" t="inlineStr">
        <is>
          <t>使用中</t>
        </is>
      </c>
    </row>
    <row r="13">
      <c r="A13" s="22" t="inlineStr">
        <is>
          <t>src/assets/scenes/map-tw.webp</t>
        </is>
      </c>
      <c r="B13" s="22" t="inlineStr">
        <is>
          <t>台灣 3D 地圖貼圖</t>
        </is>
      </c>
      <c r="C13" s="22" t="inlineStr">
        <is>
          <t>1024×1536</t>
        </is>
      </c>
      <c r="D13" s="31" t="n">
        <v>101.4</v>
      </c>
      <c r="E13" s="22" t="inlineStr">
        <is>
          <t>使用中</t>
        </is>
      </c>
    </row>
    <row r="14">
      <c r="A14" s="23" t="inlineStr">
        <is>
          <t>src/assets/scenes/map-jp.webp</t>
        </is>
      </c>
      <c r="B14" s="23" t="inlineStr">
        <is>
          <t>日本 3D 地圖貼圖</t>
        </is>
      </c>
      <c r="C14" s="23" t="inlineStr">
        <is>
          <t>1254×1254</t>
        </is>
      </c>
      <c r="D14" s="28" t="n">
        <v>57</v>
      </c>
      <c r="E14" s="23" t="inlineStr">
        <is>
          <t>使用中</t>
        </is>
      </c>
    </row>
    <row r="15">
      <c r="A15" s="22" t="inlineStr">
        <is>
          <t>src/assets/animals/leopard_cat.webp</t>
        </is>
      </c>
      <c r="B15" s="22" t="inlineStr">
        <is>
          <t>石虎成年主圖（靜態）</t>
        </is>
      </c>
      <c r="C15" s="22" t="inlineStr">
        <is>
          <t>512×512</t>
        </is>
      </c>
      <c r="D15" s="31" t="n">
        <v>29.5</v>
      </c>
      <c r="E15" s="22" t="inlineStr">
        <is>
          <t>使用中</t>
        </is>
      </c>
    </row>
    <row r="16">
      <c r="A16" s="23" t="inlineStr">
        <is>
          <t>public/icon-512.png</t>
        </is>
      </c>
      <c r="B16" s="23" t="inlineStr">
        <is>
          <t>App 圖示（舊）</t>
        </is>
      </c>
      <c r="C16" s="23" t="inlineStr">
        <is>
          <t>512×512</t>
        </is>
      </c>
      <c r="D16" s="28" t="n">
        <v>11.3</v>
      </c>
      <c r="E16" s="23" t="inlineStr">
        <is>
          <t>暫代</t>
        </is>
      </c>
    </row>
    <row r="17">
      <c r="A17" s="22" t="inlineStr">
        <is>
          <t>public/icon-192.png</t>
        </is>
      </c>
      <c r="B17" s="22" t="inlineStr">
        <is>
          <t>App 圖示（舊）</t>
        </is>
      </c>
      <c r="C17" s="22" t="inlineStr">
        <is>
          <t>192×192</t>
        </is>
      </c>
      <c r="D17" s="31" t="n">
        <v>3.9</v>
      </c>
      <c r="E17" s="22" t="inlineStr">
        <is>
          <t>暫代</t>
        </is>
      </c>
    </row>
    <row r="18">
      <c r="A18" s="23" t="inlineStr">
        <is>
          <t>public/apple-touch-icon.png</t>
        </is>
      </c>
      <c r="B18" s="23" t="inlineStr">
        <is>
          <t>App 圖示（舊）</t>
        </is>
      </c>
      <c r="C18" s="23" t="inlineStr">
        <is>
          <t>180×180</t>
        </is>
      </c>
      <c r="D18" s="28" t="n">
        <v>3.4</v>
      </c>
      <c r="E18" s="23" t="inlineStr">
        <is>
          <t>暫代</t>
        </is>
      </c>
    </row>
    <row r="19">
      <c r="A19" s="22" t="inlineStr">
        <is>
          <t>src/assets/animals/mesh/leopard_cat/（12 個圖層）</t>
        </is>
      </c>
      <c r="B19" s="22" t="inlineStr">
        <is>
          <t>石虎網格動態的圖層</t>
        </is>
      </c>
      <c r="C19" s="22" t="inlineStr">
        <is>
          <t>半尺寸</t>
        </is>
      </c>
      <c r="D19" s="31" t="n">
        <v>67.5</v>
      </c>
      <c r="E19" s="22" t="inlineStr">
        <is>
          <t>製作中（另一個對話接入中）</t>
        </is>
      </c>
    </row>
  </sheetData>
  <autoFilter ref="A4:E19"/>
  <mergeCells count="1">
    <mergeCell ref="A2:E2"/>
  </mergeCells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0" customWidth="1" min="2" max="2"/>
    <col width="10" customWidth="1" min="3" max="3"/>
  </cols>
  <sheetData>
    <row r="1">
      <c r="A1" s="21" t="inlineStr">
        <is>
          <t>交件檢查清單</t>
        </is>
      </c>
    </row>
    <row r="2" ht="32" customHeight="1">
      <c r="A2" s="2" t="inlineStr">
        <is>
          <t>每次交圖前逐項確認。</t>
        </is>
      </c>
    </row>
    <row r="4" ht="30" customHeight="1">
      <c r="A4" s="3" t="inlineStr">
        <is>
          <t>適用</t>
        </is>
      </c>
      <c r="B4" s="3" t="inlineStr">
        <is>
          <t>檢查項目</t>
        </is>
      </c>
      <c r="C4" s="3" t="inlineStr">
        <is>
          <t>確認</t>
        </is>
      </c>
    </row>
    <row r="5">
      <c r="A5" s="22" t="inlineStr">
        <is>
          <t>全部</t>
        </is>
      </c>
      <c r="B5" s="22" t="inlineStr">
        <is>
          <t>檔名照規則（英文小寫、底線、階段編號）</t>
        </is>
      </c>
      <c r="C5" s="30" t="inlineStr"/>
    </row>
    <row r="6">
      <c r="A6" s="23" t="inlineStr">
        <is>
          <t>全部</t>
        </is>
      </c>
      <c r="B6" s="23" t="inlineStr">
        <is>
          <t>透明背景、sRGB；深色與淺色背景上都沒有白邊、殘留色塊</t>
        </is>
      </c>
      <c r="C6" s="30" t="inlineStr"/>
    </row>
    <row r="7">
      <c r="A7" s="22" t="inlineStr">
        <is>
          <t>全部</t>
        </is>
      </c>
      <c r="B7" s="22" t="inlineStr">
        <is>
          <t>沒有文字、浮水印、地面陰影、背景物件</t>
        </is>
      </c>
      <c r="C7" s="30" t="inlineStr"/>
    </row>
    <row r="8">
      <c r="A8" s="23" t="inlineStr">
        <is>
          <t>全部</t>
        </is>
      </c>
      <c r="B8" s="23" t="inlineStr">
        <is>
          <t>用手機實際顯示的大小檢查一次（縮小後線條、斷層最容易出現）</t>
        </is>
      </c>
      <c r="C8" s="30" t="inlineStr"/>
    </row>
    <row r="9">
      <c r="A9" s="22" t="inlineStr">
        <is>
          <t>動物主圖</t>
        </is>
      </c>
      <c r="B9" s="22" t="inlineStr">
        <is>
          <t>正側面、頭朝右；腳底貼齊 y＝472（512 畫布，離下緣 40 px），水平置中</t>
        </is>
      </c>
      <c r="C9" s="30" t="inlineStr"/>
    </row>
    <row r="10">
      <c r="A10" s="23" t="inlineStr">
        <is>
          <t>動物主圖</t>
        </is>
      </c>
      <c r="B10" s="23" t="inlineStr">
        <is>
          <t>三個成長階段畫布一樣大，幼年約成年的 60%、亞成年約 80%，腳底在同一條線</t>
        </is>
      </c>
      <c r="C10" s="30" t="inlineStr"/>
    </row>
    <row r="11">
      <c r="A11" s="22" t="inlineStr">
        <is>
          <t>動物主圖</t>
        </is>
      </c>
      <c r="B11" s="22" t="inlineStr">
        <is>
          <t>三個階段看得出是同一種（毛色、斑紋、臉型一致）；縮到 30 px 仍認得出</t>
        </is>
      </c>
      <c r="C11" s="30" t="inlineStr"/>
    </row>
    <row r="12">
      <c r="A12" s="23" t="inlineStr">
        <is>
          <t>動物動態</t>
        </is>
      </c>
      <c r="B12" s="23" t="inlineStr">
        <is>
          <t>靜止時網格圖層合成跟主圖比：平均差 ≤ 1.5、p99 ≤ 10</t>
        </is>
      </c>
      <c r="C12" s="30" t="inlineStr"/>
    </row>
    <row r="13">
      <c r="A13" s="22" t="inlineStr">
        <is>
          <t>動物動態</t>
        </is>
      </c>
      <c r="B13" s="22" t="inlineStr">
        <is>
          <t>走路四個時間點、張望、低頭、張嘴、眨眼、甩尾兩端、耳朵最大角度，都用半尺寸貼圖放大檢查</t>
        </is>
      </c>
      <c r="C13" s="30" t="inlineStr"/>
    </row>
    <row r="14">
      <c r="A14" s="23" t="inlineStr">
        <is>
          <t>動物動態</t>
        </is>
      </c>
      <c r="B14" s="23" t="inlineStr">
        <is>
          <t>在 Galaxy A8s 實機確認；每隻壓縮後 ≤ 120 KB</t>
        </is>
      </c>
      <c r="C14" s="30" t="inlineStr"/>
    </row>
    <row r="15">
      <c r="A15" s="22" t="inlineStr">
        <is>
          <t>全景</t>
        </is>
      </c>
      <c r="B15" s="22" t="inlineStr">
        <is>
          <t>3000×1150 左右；動物停下的位置（62%, 59～70%）乾淨；夜晚版與白天版構圖完全一致</t>
        </is>
      </c>
      <c r="C15" s="30" t="inlineStr"/>
    </row>
    <row r="16">
      <c r="A16" s="23" t="inlineStr">
        <is>
          <t>場景疊圖</t>
        </is>
      </c>
      <c r="B16" s="23" t="inlineStr">
        <is>
          <t>與底圖同畫布、完全對齊；6 個動物站位不被擋住</t>
        </is>
      </c>
      <c r="C16" s="30" t="inlineStr"/>
    </row>
    <row r="17">
      <c r="A17" s="22" t="inlineStr">
        <is>
          <t>圖示</t>
        </is>
      </c>
      <c r="B17" s="22" t="inlineStr">
        <is>
          <t>512 px 置中、去背；縮到 24 px 仍清楚</t>
        </is>
      </c>
      <c r="C17" s="30" t="inlineStr"/>
    </row>
  </sheetData>
  <autoFilter ref="A4:C17"/>
  <mergeCells count="1">
    <mergeCell ref="A2:C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2026-10-28T10:38:34Z</dcterms:created>
  <dcterms:modified xsi:type="dcterms:W3CDTF">2026-10-28T10:38:34Z</dcterms:modified>
</cp:coreProperties>
</file>